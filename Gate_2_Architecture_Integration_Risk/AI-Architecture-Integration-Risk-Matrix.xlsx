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akon\Downloads\"/>
    </mc:Choice>
  </mc:AlternateContent>
  <xr:revisionPtr revIDLastSave="0" documentId="13_ncr:1_{D1E470BE-7EE8-4FDE-AD7A-B270915A9270}" xr6:coauthVersionLast="47" xr6:coauthVersionMax="47" xr10:uidLastSave="{00000000-0000-0000-0000-000000000000}"/>
  <bookViews>
    <workbookView xWindow="-93" yWindow="-93" windowWidth="25786" windowHeight="13866" activeTab="1" xr2:uid="{00000000-000D-0000-FFFF-FFFF00000000}"/>
  </bookViews>
  <sheets>
    <sheet name="README" sheetId="1" r:id="rId1"/>
    <sheet name="Architecture Complexity" sheetId="2" r:id="rId2"/>
    <sheet name="Integration Cost Drivers" sheetId="3" r:id="rId3"/>
    <sheet name="Architecture Warning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9" i="2" l="1"/>
  <c r="C29" i="2"/>
  <c r="B29" i="2"/>
  <c r="D28" i="2"/>
  <c r="C28" i="2"/>
  <c r="B28" i="2"/>
  <c r="D23" i="2"/>
  <c r="C23" i="2"/>
  <c r="B23" i="2"/>
  <c r="D22" i="2"/>
  <c r="D21" i="2" s="1"/>
  <c r="C22" i="2"/>
  <c r="C20" i="2" s="1"/>
  <c r="B22" i="2"/>
  <c r="B21" i="2" s="1"/>
  <c r="C21" i="2" l="1"/>
  <c r="B19" i="2"/>
  <c r="B24" i="2"/>
  <c r="B20" i="2"/>
  <c r="C19" i="2"/>
  <c r="C24" i="2" s="1"/>
  <c r="D20" i="2"/>
  <c r="D19" i="2"/>
  <c r="D24" i="2" l="1"/>
</calcChain>
</file>

<file path=xl/sharedStrings.xml><?xml version="1.0" encoding="utf-8"?>
<sst xmlns="http://schemas.openxmlformats.org/spreadsheetml/2006/main" count="243" uniqueCount="132">
  <si>
    <t>Model Complexity &amp; Integration Cost Matrix</t>
  </si>
  <si>
    <t>Purpose</t>
  </si>
  <si>
    <t>Show that integration cost often dominates model choice.</t>
  </si>
  <si>
    <t>Core idea</t>
  </si>
  <si>
    <t>Architecture risk is driven by systems, workflows, controls, and accountability — not by model sophistication alone.</t>
  </si>
  <si>
    <t>How to use</t>
  </si>
  <si>
    <t>Review the three use cases, adjust warning flags, check driver weights, and use the architecture summary as an executive triage view.</t>
  </si>
  <si>
    <t>What it does NOT do</t>
  </si>
  <si>
    <t>It does not replace a full architecture assessment, compliance review, security review, or implementation estimate.</t>
  </si>
  <si>
    <t>Governance Terminology</t>
  </si>
  <si>
    <t>Fallback = predefined safe operational alternative path. Override = human authority to intervene or reverse an AI-supported action. Rollback = recovery of already applied operational changes.</t>
  </si>
  <si>
    <t>Important</t>
  </si>
  <si>
    <t>This file is a preliminary architecture filter. It surfaces escalation points that require deeper review before implementation.</t>
  </si>
  <si>
    <t>Purpose: Show that integration cost dominates model choice.</t>
  </si>
  <si>
    <t>Core idea: Architecture risk is driven by systems, not models.</t>
  </si>
  <si>
    <t>This sheet is an executive summary. Detailed warning flags and driver weights are reviewed on the following sheets.</t>
  </si>
  <si>
    <t>Parameter</t>
  </si>
  <si>
    <t>Use Case 1</t>
  </si>
  <si>
    <t>Use Case 2</t>
  </si>
  <si>
    <t>Use Case 3</t>
  </si>
  <si>
    <t>BUSINESS CASE DESCRIPTION</t>
  </si>
  <si>
    <t>Use Case Name</t>
  </si>
  <si>
    <t>Internal Meeting Summary Assistant</t>
  </si>
  <si>
    <t>Invoice Exception Detection Assistant</t>
  </si>
  <si>
    <t>Procurement Anomaly Review Assistant</t>
  </si>
  <si>
    <t>Business Goal</t>
  </si>
  <si>
    <t>Internal productivity support</t>
  </si>
  <si>
    <t>Finance review support</t>
  </si>
  <si>
    <t>Procurement review support</t>
  </si>
  <si>
    <t>Short Description</t>
  </si>
  <si>
    <t>Summarizes meetings, extracts action items, and prepares draft follow-up notes.</t>
  </si>
  <si>
    <t>Highlights invoice exceptions and unusual payment requests for finance review.</t>
  </si>
  <si>
    <t>Identifies unusual procurement patterns and prioritizes cases for contextual review.</t>
  </si>
  <si>
    <t>SOLUTION APPROACH</t>
  </si>
  <si>
    <t>AI Pattern</t>
  </si>
  <si>
    <t>Conversational / Recognition</t>
  </si>
  <si>
    <t>Patterns &amp; Anomalies</t>
  </si>
  <si>
    <t>AI Mechanism / Tooling</t>
  </si>
  <si>
    <t>LLM</t>
  </si>
  <si>
    <t>Rules + LLM + RAG</t>
  </si>
  <si>
    <t>Contextual Layer</t>
  </si>
  <si>
    <t>Meeting transcript / notes</t>
  </si>
  <si>
    <t>Payment request, invoice, contract, approval history</t>
  </si>
  <si>
    <t>Vendor history, pricing history, procurement category, approval context</t>
  </si>
  <si>
    <t>Operational Controls</t>
  </si>
  <si>
    <t>Human editing before distribution</t>
  </si>
  <si>
    <t>Human finance review + deterministic controls</t>
  </si>
  <si>
    <t>Human review + deterministic controls</t>
  </si>
  <si>
    <t>ARCHITECTURAL ASSESSMENT</t>
  </si>
  <si>
    <t>Cost Burden Index</t>
  </si>
  <si>
    <t>Complexity Burden Index</t>
  </si>
  <si>
    <t>Failure Risk Index</t>
  </si>
  <si>
    <t>Active Warning Count</t>
  </si>
  <si>
    <t>High Escalation Count</t>
  </si>
  <si>
    <t>Architecture Complexity Level</t>
  </si>
  <si>
    <t>EXECUTIVE REVIEW NOTES</t>
  </si>
  <si>
    <t>Recommended Architecture</t>
  </si>
  <si>
    <t>Standalone Assist Workflow</t>
  </si>
  <si>
    <t>Human Review + Deterministic Controls</t>
  </si>
  <si>
    <t>Human Review + Retrieval Layer</t>
  </si>
  <si>
    <t>Executive Attention Required</t>
  </si>
  <si>
    <t>Assessment Caveat</t>
  </si>
  <si>
    <t>Recommended architecture patterns are illustrative and require solution-specific validation.</t>
  </si>
  <si>
    <t>Integration Cost Drivers</t>
  </si>
  <si>
    <t>Purpose: Assign intrinsic burden weights to the same factors used on the Architecture Warnings sheet.</t>
  </si>
  <si>
    <t>Driver</t>
  </si>
  <si>
    <t>Cost Impact</t>
  </si>
  <si>
    <t>Complexity Impact</t>
  </si>
  <si>
    <t>Failure Risk</t>
  </si>
  <si>
    <t>Escalation Notes</t>
  </si>
  <si>
    <t>AI writes directly into core systems</t>
  </si>
  <si>
    <t>HIGH</t>
  </si>
  <si>
    <t>Direct write-back can materially increase implementation, testing, and recovery burden.</t>
  </si>
  <si>
    <t>Multi-system write access required</t>
  </si>
  <si>
    <t>Cross-system write orchestration can create transaction consistency and rollback complexity.</t>
  </si>
  <si>
    <t>No deterministic fallback</t>
  </si>
  <si>
    <t>MEDIUM</t>
  </si>
  <si>
    <t>Fallback design is essential where AI-supported workflows can fail or degrade.</t>
  </si>
  <si>
    <t>Human override unclear</t>
  </si>
  <si>
    <t>LOW</t>
  </si>
  <si>
    <t>Clarify who can intervene, reverse, or override AI-supported outputs.</t>
  </si>
  <si>
    <t>Audit trail incomplete</t>
  </si>
  <si>
    <t>Audit logging is required for review, troubleshooting, and accountability.</t>
  </si>
  <si>
    <t>Business rules hidden inside prompts</t>
  </si>
  <si>
    <t>Rules should be externalized into testable policy or controls where practical.</t>
  </si>
  <si>
    <t>Context assembled from multiple systems</t>
  </si>
  <si>
    <t>Multi-source context raises mapping, consistency, and orchestration burden.</t>
  </si>
  <si>
    <t>No clear source of truth</t>
  </si>
  <si>
    <t>Unclear master data ownership can undermine decision reliability.</t>
  </si>
  <si>
    <t>Identity &amp; Access required</t>
  </si>
  <si>
    <t>Access control is mature but still requires proper role and permission design.</t>
  </si>
  <si>
    <t>Workflow Synchronization required</t>
  </si>
  <si>
    <t>State handoffs and workflow synchronization can become major integration work.</t>
  </si>
  <si>
    <t>Monitoring required</t>
  </si>
  <si>
    <t>Monitoring adds operating discipline but is usually manageable with existing tooling.</t>
  </si>
  <si>
    <t>Vendor-specific workflow dependency</t>
  </si>
  <si>
    <t>Vendor workflow dependency may reduce initial complexity but increase lock-in risk.</t>
  </si>
  <si>
    <t>Data Residency / PII</t>
  </si>
  <si>
    <t>PII flag raised: data residency, GDPR, retention, and secure storage review required.</t>
  </si>
  <si>
    <t>Decision Traceability Storage</t>
  </si>
  <si>
    <t>Traceability flag raised: audit-grade logging, encrypted retention, retrieval, and evidence preservation review required.</t>
  </si>
  <si>
    <t>Architecture Warning Signs</t>
  </si>
  <si>
    <t>Purpose: Identify hidden architecture escalation points before implementation.</t>
  </si>
  <si>
    <t>Warning Sign</t>
  </si>
  <si>
    <t>Escalation Level</t>
  </si>
  <si>
    <t>Architecture Attention Required</t>
  </si>
  <si>
    <t>NO</t>
  </si>
  <si>
    <t>Deterministic fallback and approval controls required.</t>
  </si>
  <si>
    <t>Integration dependency mapping required.</t>
  </si>
  <si>
    <t>Safe alternative operating path required.</t>
  </si>
  <si>
    <t>Decision ownership and intervention authority must be clarified.</t>
  </si>
  <si>
    <t>YES</t>
  </si>
  <si>
    <t>Compliance logging review required.</t>
  </si>
  <si>
    <t>Explicit policy / rules layer recommended.</t>
  </si>
  <si>
    <t>Context orchestration review required.</t>
  </si>
  <si>
    <t>Master data alignment required.</t>
  </si>
  <si>
    <t>Access model, roles, and permissions review required.</t>
  </si>
  <si>
    <t>Workflow handoff and state synchronization review required.</t>
  </si>
  <si>
    <t>Monitoring metrics and escalation triggers required.</t>
  </si>
  <si>
    <t>Lock-in exposure assessment required.</t>
  </si>
  <si>
    <t>Customer PII processed externally</t>
  </si>
  <si>
    <t>Data residency and GDPR review required.</t>
  </si>
  <si>
    <t>Decision traceability required but not architected</t>
  </si>
  <si>
    <t>Audit-grade logging architecture required.</t>
  </si>
  <si>
    <t>Escalation Level Logic:</t>
  </si>
  <si>
    <t>HIGH indicates a warning that may materially change architecture cost, governance posture, or operational liability.</t>
  </si>
  <si>
    <t>MEDIUM indicates a relevant architecture concern that usually requires review but does not automatically change executive risk posture.</t>
  </si>
  <si>
    <t>Index Logic:</t>
  </si>
  <si>
    <t>LOW = 1</t>
  </si>
  <si>
    <t>MEDIUM = 2</t>
  </si>
  <si>
    <t>HIGH = 3</t>
  </si>
  <si>
    <t>Composite indices are calculated as simple averages across active architectural factors.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</si>
</sst>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>
    <font>
      <sz val="11"/>
      <name val="Carlito"/>
    </font>
    <font>
      <b/>
      <sz val="14"/>
      <name val="Carlito"/>
    </font>
    <font>
      <b/>
      <sz val="11"/>
      <name val="Carlito"/>
    </font>
    <font>
      <i/>
      <sz val="9"/>
      <color rgb="FF666666"/>
      <name val="Carlito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EDEDED"/>
      </patternFill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0">
    <xf numFmtId="0" fontId="0" fillId="0" borderId="0" xfId="0"/>
    <xf numFmtId="0" fontId="1" fillId="0" borderId="0" xfId="1" applyFont="1" applyAlignment="1">
      <alignment wrapText="1"/>
    </xf>
    <xf numFmtId="0" fontId="2" fillId="2" borderId="0" xfId="1" applyFont="1" applyFill="1" applyAlignment="1">
      <alignment wrapText="1"/>
    </xf>
    <xf numFmtId="0" fontId="0" fillId="0" borderId="0" xfId="1" applyFont="1" applyAlignment="1">
      <alignment wrapText="1"/>
    </xf>
    <xf numFmtId="0" fontId="3" fillId="0" borderId="0" xfId="1" applyFont="1" applyAlignment="1">
      <alignment wrapText="1"/>
    </xf>
    <xf numFmtId="0" fontId="2" fillId="3" borderId="0" xfId="1" applyFont="1" applyFill="1" applyAlignment="1">
      <alignment horizontal="center" vertical="center" wrapText="1"/>
    </xf>
    <xf numFmtId="0" fontId="2" fillId="0" borderId="0" xfId="1" applyFont="1" applyAlignment="1">
      <alignment wrapText="1"/>
    </xf>
    <xf numFmtId="0" fontId="1" fillId="0" borderId="0" xfId="1" applyFont="1" applyAlignment="1"/>
    <xf numFmtId="0" fontId="3" fillId="0" borderId="0" xfId="1" applyFont="1" applyAlignment="1"/>
    <xf numFmtId="164" fontId="0" fillId="0" borderId="0" xfId="1" applyNumberFormat="1" applyFont="1" applyAlignment="1">
      <alignment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/>
  </sheetViews>
  <sheetFormatPr defaultRowHeight="13.7"/>
  <cols>
    <col min="1" max="1" width="28" customWidth="1"/>
    <col min="2" max="2" width="110" customWidth="1"/>
  </cols>
  <sheetData>
    <row r="1" spans="1:2" ht="17.7">
      <c r="A1" s="7" t="s">
        <v>0</v>
      </c>
      <c r="B1" s="1"/>
    </row>
    <row r="2" spans="1:2">
      <c r="A2" s="3"/>
      <c r="B2" s="3"/>
    </row>
    <row r="3" spans="1:2">
      <c r="A3" s="2" t="s">
        <v>1</v>
      </c>
      <c r="B3" s="3" t="s">
        <v>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8</v>
      </c>
    </row>
    <row r="7" spans="1:2" ht="27.35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8"/>
  <sheetViews>
    <sheetView tabSelected="1" topLeftCell="A16" workbookViewId="0">
      <selection activeCell="A36" sqref="A36"/>
    </sheetView>
  </sheetViews>
  <sheetFormatPr defaultRowHeight="13.7"/>
  <cols>
    <col min="1" max="1" width="36" customWidth="1"/>
    <col min="2" max="4" width="42" customWidth="1"/>
  </cols>
  <sheetData>
    <row r="1" spans="1:4" ht="17.7">
      <c r="A1" s="7" t="s">
        <v>0</v>
      </c>
      <c r="B1" s="1"/>
      <c r="C1" s="1"/>
      <c r="D1" s="1"/>
    </row>
    <row r="2" spans="1:4">
      <c r="A2" s="8" t="s">
        <v>13</v>
      </c>
      <c r="B2" s="4"/>
      <c r="C2" s="4"/>
      <c r="D2" s="4"/>
    </row>
    <row r="3" spans="1:4">
      <c r="A3" s="8" t="s">
        <v>14</v>
      </c>
      <c r="B3" s="4"/>
      <c r="C3" s="4"/>
      <c r="D3" s="4"/>
    </row>
    <row r="4" spans="1:4">
      <c r="A4" s="8" t="s">
        <v>15</v>
      </c>
      <c r="B4" s="4"/>
      <c r="C4" s="4"/>
      <c r="D4" s="4"/>
    </row>
    <row r="5" spans="1:4">
      <c r="A5" s="3"/>
      <c r="B5" s="3"/>
      <c r="C5" s="3"/>
      <c r="D5" s="3"/>
    </row>
    <row r="6" spans="1:4">
      <c r="A6" s="5" t="s">
        <v>16</v>
      </c>
      <c r="B6" s="5" t="s">
        <v>17</v>
      </c>
      <c r="C6" s="5" t="s">
        <v>18</v>
      </c>
      <c r="D6" s="5" t="s">
        <v>19</v>
      </c>
    </row>
    <row r="7" spans="1:4">
      <c r="A7" s="2" t="s">
        <v>20</v>
      </c>
      <c r="B7" s="2"/>
      <c r="C7" s="2"/>
      <c r="D7" s="2"/>
    </row>
    <row r="8" spans="1:4">
      <c r="A8" s="3" t="s">
        <v>21</v>
      </c>
      <c r="B8" s="3" t="s">
        <v>22</v>
      </c>
      <c r="C8" s="3" t="s">
        <v>23</v>
      </c>
      <c r="D8" s="3" t="s">
        <v>24</v>
      </c>
    </row>
    <row r="9" spans="1:4">
      <c r="A9" s="3" t="s">
        <v>25</v>
      </c>
      <c r="B9" s="3" t="s">
        <v>26</v>
      </c>
      <c r="C9" s="3" t="s">
        <v>27</v>
      </c>
      <c r="D9" s="3" t="s">
        <v>28</v>
      </c>
    </row>
    <row r="10" spans="1:4" ht="27.35">
      <c r="A10" s="3" t="s">
        <v>29</v>
      </c>
      <c r="B10" s="3" t="s">
        <v>30</v>
      </c>
      <c r="C10" s="3" t="s">
        <v>31</v>
      </c>
      <c r="D10" s="3" t="s">
        <v>32</v>
      </c>
    </row>
    <row r="11" spans="1:4">
      <c r="A11" s="3"/>
      <c r="B11" s="3"/>
      <c r="C11" s="3"/>
      <c r="D11" s="3"/>
    </row>
    <row r="12" spans="1:4">
      <c r="A12" s="2" t="s">
        <v>33</v>
      </c>
      <c r="B12" s="2"/>
      <c r="C12" s="2"/>
      <c r="D12" s="2"/>
    </row>
    <row r="13" spans="1:4">
      <c r="A13" s="3" t="s">
        <v>34</v>
      </c>
      <c r="B13" s="3" t="s">
        <v>35</v>
      </c>
      <c r="C13" s="3" t="s">
        <v>36</v>
      </c>
      <c r="D13" s="3" t="s">
        <v>36</v>
      </c>
    </row>
    <row r="14" spans="1:4">
      <c r="A14" s="3" t="s">
        <v>37</v>
      </c>
      <c r="B14" s="3" t="s">
        <v>38</v>
      </c>
      <c r="C14" s="3" t="s">
        <v>39</v>
      </c>
      <c r="D14" s="3" t="s">
        <v>39</v>
      </c>
    </row>
    <row r="15" spans="1:4" ht="27.35">
      <c r="A15" s="3" t="s">
        <v>40</v>
      </c>
      <c r="B15" s="3" t="s">
        <v>41</v>
      </c>
      <c r="C15" s="3" t="s">
        <v>42</v>
      </c>
      <c r="D15" s="3" t="s">
        <v>43</v>
      </c>
    </row>
    <row r="16" spans="1:4" ht="20" customHeight="1">
      <c r="A16" s="3" t="s">
        <v>44</v>
      </c>
      <c r="B16" s="3" t="s">
        <v>45</v>
      </c>
      <c r="C16" s="3" t="s">
        <v>46</v>
      </c>
      <c r="D16" s="3" t="s">
        <v>47</v>
      </c>
    </row>
    <row r="17" spans="1:4">
      <c r="A17" s="3"/>
      <c r="B17" s="3"/>
      <c r="C17" s="3"/>
      <c r="D17" s="3"/>
    </row>
    <row r="18" spans="1:4">
      <c r="A18" s="2" t="s">
        <v>48</v>
      </c>
      <c r="B18" s="2"/>
      <c r="C18" s="2"/>
      <c r="D18" s="2"/>
    </row>
    <row r="19" spans="1:4">
      <c r="A19" s="3" t="s">
        <v>49</v>
      </c>
      <c r="B19" s="9">
        <f>IF(B22=0,0,SUMPRODUCT(--('Architecture Warnings'!B$5:B$18="YES"),(('Integration Cost Drivers'!$B$5:$B$18="LOW")*1+('Integration Cost Drivers'!$B$5:$B$18="MEDIUM")*2+('Integration Cost Drivers'!$B$5:$B$18="HIGH")*3))/B22)</f>
        <v>0</v>
      </c>
      <c r="C19" s="9">
        <f>IF(C22=0,0,SUMPRODUCT(--('Architecture Warnings'!C$5:C$18="YES"),(('Integration Cost Drivers'!$B$5:$B$18="LOW")*1+('Integration Cost Drivers'!$B$5:$B$18="MEDIUM")*2+('Integration Cost Drivers'!$B$5:$B$18="HIGH")*3))/C22)</f>
        <v>2.4</v>
      </c>
      <c r="D19" s="9">
        <f>IF(D22=0,0,SUMPRODUCT(--('Architecture Warnings'!D$5:D$18="YES"),(('Integration Cost Drivers'!$B$5:$B$18="LOW")*1+('Integration Cost Drivers'!$B$5:$B$18="MEDIUM")*2+('Integration Cost Drivers'!$B$5:$B$18="HIGH")*3))/D22)</f>
        <v>2.5</v>
      </c>
    </row>
    <row r="20" spans="1:4">
      <c r="A20" s="3" t="s">
        <v>50</v>
      </c>
      <c r="B20" s="9">
        <f>IF(B22=0,0,SUMPRODUCT(--('Architecture Warnings'!B$5:B$18="YES"),(('Integration Cost Drivers'!$C$5:$C$18="LOW")*1+('Integration Cost Drivers'!$C$5:$C$18="MEDIUM")*2+('Integration Cost Drivers'!$C$5:$C$18="HIGH")*3))/B22)</f>
        <v>0</v>
      </c>
      <c r="C20" s="9">
        <f>IF(C22=0,0,SUMPRODUCT(--('Architecture Warnings'!C$5:C$18="YES"),(('Integration Cost Drivers'!$C$5:$C$18="LOW")*1+('Integration Cost Drivers'!$C$5:$C$18="MEDIUM")*2+('Integration Cost Drivers'!$C$5:$C$18="HIGH")*3))/C22)</f>
        <v>2.4</v>
      </c>
      <c r="D20" s="9">
        <f>IF(D22=0,0,SUMPRODUCT(--('Architecture Warnings'!D$5:D$18="YES"),(('Integration Cost Drivers'!$C$5:$C$18="LOW")*1+('Integration Cost Drivers'!$C$5:$C$18="MEDIUM")*2+('Integration Cost Drivers'!$C$5:$C$18="HIGH")*3))/D22)</f>
        <v>2.5</v>
      </c>
    </row>
    <row r="21" spans="1:4">
      <c r="A21" s="3" t="s">
        <v>51</v>
      </c>
      <c r="B21" s="9">
        <f>IF(B22=0,0,SUMPRODUCT(--('Architecture Warnings'!B$5:B$18="YES"),(('Integration Cost Drivers'!$D$5:$D$18="LOW")*1+('Integration Cost Drivers'!$D$5:$D$18="MEDIUM")*2+('Integration Cost Drivers'!$D$5:$D$18="HIGH")*3))/B22)</f>
        <v>0</v>
      </c>
      <c r="C21" s="9">
        <f>IF(C22=0,0,SUMPRODUCT(--('Architecture Warnings'!C$5:C$18="YES"),(('Integration Cost Drivers'!$D$5:$D$18="LOW")*1+('Integration Cost Drivers'!$D$5:$D$18="MEDIUM")*2+('Integration Cost Drivers'!$D$5:$D$18="HIGH")*3))/C22)</f>
        <v>2.2000000000000002</v>
      </c>
      <c r="D21" s="9">
        <f>IF(D22=0,0,SUMPRODUCT(--('Architecture Warnings'!D$5:D$18="YES"),(('Integration Cost Drivers'!$D$5:$D$18="LOW")*1+('Integration Cost Drivers'!$D$5:$D$18="MEDIUM")*2+('Integration Cost Drivers'!$D$5:$D$18="HIGH")*3))/D22)</f>
        <v>2.3333333333333335</v>
      </c>
    </row>
    <row r="22" spans="1:4">
      <c r="A22" s="3" t="s">
        <v>52</v>
      </c>
      <c r="B22" s="3">
        <f>COUNTIF('Architecture Warnings'!B5:B18,"YES")</f>
        <v>0</v>
      </c>
      <c r="C22" s="3">
        <f>COUNTIF('Architecture Warnings'!C5:C18,"YES")</f>
        <v>5</v>
      </c>
      <c r="D22" s="3">
        <f>COUNTIF('Architecture Warnings'!D5:D18,"YES")</f>
        <v>6</v>
      </c>
    </row>
    <row r="23" spans="1:4">
      <c r="A23" s="3" t="s">
        <v>53</v>
      </c>
      <c r="B23" s="3">
        <f>SUMPRODUCT(--('Architecture Warnings'!B5:B18="YES"),--('Architecture Warnings'!$E$5:$E$18="HIGH"))</f>
        <v>0</v>
      </c>
      <c r="C23" s="3">
        <f>SUMPRODUCT(--('Architecture Warnings'!C5:C18="YES"),--('Architecture Warnings'!$E$5:$E$18="HIGH"))</f>
        <v>2</v>
      </c>
      <c r="D23" s="3">
        <f>SUMPRODUCT(--('Architecture Warnings'!D5:D18="YES"),--('Architecture Warnings'!$E$5:$E$18="HIGH"))</f>
        <v>3</v>
      </c>
    </row>
    <row r="24" spans="1:4">
      <c r="A24" s="3" t="s">
        <v>54</v>
      </c>
      <c r="B24" s="3" t="str">
        <f>IF(B22=0,"LOW",IF(AVERAGE(B19:B21)&lt;1.5,"LOW",IF(AVERAGE(B19:B21)&lt;=2.5,"MEDIUM","HIGH")))</f>
        <v>LOW</v>
      </c>
      <c r="C24" s="3" t="str">
        <f>IF(C22=0,"LOW",IF(AVERAGE(C19:C21)&lt;1.5,"LOW",IF(AVERAGE(C19:C21)&lt;=2.5,"MEDIUM","HIGH")))</f>
        <v>MEDIUM</v>
      </c>
      <c r="D24" s="3" t="str">
        <f>IF(D22=0,"LOW",IF(AVERAGE(D19:D21)&lt;1.5,"LOW",IF(AVERAGE(D19:D21)&lt;=2.5,"MEDIUM","HIGH")))</f>
        <v>MEDIUM</v>
      </c>
    </row>
    <row r="25" spans="1:4">
      <c r="A25" s="3"/>
      <c r="B25" s="3"/>
      <c r="C25" s="3"/>
      <c r="D25" s="3"/>
    </row>
    <row r="26" spans="1:4">
      <c r="A26" s="2" t="s">
        <v>55</v>
      </c>
      <c r="B26" s="2"/>
      <c r="C26" s="2"/>
      <c r="D26" s="2"/>
    </row>
    <row r="27" spans="1:4">
      <c r="A27" s="3" t="s">
        <v>56</v>
      </c>
      <c r="B27" s="3" t="s">
        <v>57</v>
      </c>
      <c r="C27" s="3" t="s">
        <v>58</v>
      </c>
      <c r="D27" s="3" t="s">
        <v>59</v>
      </c>
    </row>
    <row r="28" spans="1:4" ht="27.35">
      <c r="A28" s="3" t="s">
        <v>60</v>
      </c>
      <c r="B28" s="3" t="str">
        <f>IF(AND('Architecture Warnings'!B5="YES",'Architecture Warnings'!$E5="HIGH"),'Architecture Warnings'!$A5&amp;"; ","")&amp;IF(AND('Architecture Warnings'!B6="YES",'Architecture Warnings'!$E6="HIGH"),'Architecture Warnings'!$A6&amp;"; ","")&amp;IF(AND('Architecture Warnings'!B7="YES",'Architecture Warnings'!$E7="HIGH"),'Architecture Warnings'!$A7&amp;"; ","")&amp;IF(AND('Architecture Warnings'!B8="YES",'Architecture Warnings'!$E8="HIGH"),'Architecture Warnings'!$A8&amp;"; ","")&amp;IF(AND('Architecture Warnings'!B9="YES",'Architecture Warnings'!$E9="HIGH"),'Architecture Warnings'!$A9&amp;"; ","")&amp;IF(AND('Architecture Warnings'!B10="YES",'Architecture Warnings'!$E10="HIGH"),'Architecture Warnings'!$A10&amp;"; ","")&amp;IF(AND('Architecture Warnings'!B11="YES",'Architecture Warnings'!$E11="HIGH"),'Architecture Warnings'!$A11&amp;"; ","")&amp;IF(AND('Architecture Warnings'!B12="YES",'Architecture Warnings'!$E12="HIGH"),'Architecture Warnings'!$A12&amp;"; ","")&amp;IF(AND('Architecture Warnings'!B13="YES",'Architecture Warnings'!$E13="HIGH"),'Architecture Warnings'!$A13&amp;"; ","")&amp;IF(AND('Architecture Warnings'!B14="YES",'Architecture Warnings'!$E14="HIGH"),'Architecture Warnings'!$A14&amp;"; ","")&amp;IF(AND('Architecture Warnings'!B15="YES",'Architecture Warnings'!$E15="HIGH"),'Architecture Warnings'!$A15&amp;"; ","")&amp;IF(AND('Architecture Warnings'!B16="YES",'Architecture Warnings'!$E16="HIGH"),'Architecture Warnings'!$A16&amp;"; ","")</f>
        <v/>
      </c>
      <c r="C28" s="3" t="str">
        <f>IF(AND('Architecture Warnings'!C5="YES",'Architecture Warnings'!$E5="HIGH"),'Architecture Warnings'!$A5&amp;"; ","")&amp;IF(AND('Architecture Warnings'!C6="YES",'Architecture Warnings'!$E6="HIGH"),'Architecture Warnings'!$A6&amp;"; ","")&amp;IF(AND('Architecture Warnings'!C7="YES",'Architecture Warnings'!$E7="HIGH"),'Architecture Warnings'!$A7&amp;"; ","")&amp;IF(AND('Architecture Warnings'!C8="YES",'Architecture Warnings'!$E8="HIGH"),'Architecture Warnings'!$A8&amp;"; ","")&amp;IF(AND('Architecture Warnings'!C9="YES",'Architecture Warnings'!$E9="HIGH"),'Architecture Warnings'!$A9&amp;"; ","")&amp;IF(AND('Architecture Warnings'!C10="YES",'Architecture Warnings'!$E10="HIGH"),'Architecture Warnings'!$A10&amp;"; ","")&amp;IF(AND('Architecture Warnings'!C11="YES",'Architecture Warnings'!$E11="HIGH"),'Architecture Warnings'!$A11&amp;"; ","")&amp;IF(AND('Architecture Warnings'!C12="YES",'Architecture Warnings'!$E12="HIGH"),'Architecture Warnings'!$A12&amp;"; ","")&amp;IF(AND('Architecture Warnings'!C13="YES",'Architecture Warnings'!$E13="HIGH"),'Architecture Warnings'!$A13&amp;"; ","")&amp;IF(AND('Architecture Warnings'!C14="YES",'Architecture Warnings'!$E14="HIGH"),'Architecture Warnings'!$A14&amp;"; ","")&amp;IF(AND('Architecture Warnings'!C15="YES",'Architecture Warnings'!$E15="HIGH"),'Architecture Warnings'!$A15&amp;"; ","")&amp;IF(AND('Architecture Warnings'!C16="YES",'Architecture Warnings'!$E16="HIGH"),'Architecture Warnings'!$A16&amp;"; ","")</f>
        <v xml:space="preserve">Audit trail incomplete; Workflow Synchronization required; </v>
      </c>
      <c r="D28" s="3" t="str">
        <f>IF(AND('Architecture Warnings'!D5="YES",'Architecture Warnings'!$E5="HIGH"),'Architecture Warnings'!$A5&amp;"; ","")&amp;IF(AND('Architecture Warnings'!D6="YES",'Architecture Warnings'!$E6="HIGH"),'Architecture Warnings'!$A6&amp;"; ","")&amp;IF(AND('Architecture Warnings'!D7="YES",'Architecture Warnings'!$E7="HIGH"),'Architecture Warnings'!$A7&amp;"; ","")&amp;IF(AND('Architecture Warnings'!D8="YES",'Architecture Warnings'!$E8="HIGH"),'Architecture Warnings'!$A8&amp;"; ","")&amp;IF(AND('Architecture Warnings'!D9="YES",'Architecture Warnings'!$E9="HIGH"),'Architecture Warnings'!$A9&amp;"; ","")&amp;IF(AND('Architecture Warnings'!D10="YES",'Architecture Warnings'!$E10="HIGH"),'Architecture Warnings'!$A10&amp;"; ","")&amp;IF(AND('Architecture Warnings'!D11="YES",'Architecture Warnings'!$E11="HIGH"),'Architecture Warnings'!$A11&amp;"; ","")&amp;IF(AND('Architecture Warnings'!D12="YES",'Architecture Warnings'!$E12="HIGH"),'Architecture Warnings'!$A12&amp;"; ","")&amp;IF(AND('Architecture Warnings'!D13="YES",'Architecture Warnings'!$E13="HIGH"),'Architecture Warnings'!$A13&amp;"; ","")&amp;IF(AND('Architecture Warnings'!D14="YES",'Architecture Warnings'!$E14="HIGH"),'Architecture Warnings'!$A14&amp;"; ","")&amp;IF(AND('Architecture Warnings'!D15="YES",'Architecture Warnings'!$E15="HIGH"),'Architecture Warnings'!$A15&amp;"; ","")&amp;IF(AND('Architecture Warnings'!D16="YES",'Architecture Warnings'!$E16="HIGH"),'Architecture Warnings'!$A16&amp;"; ","")</f>
        <v xml:space="preserve">Audit trail incomplete; Workflow Synchronization required; </v>
      </c>
    </row>
    <row r="29" spans="1:4" ht="27.35">
      <c r="A29" s="3" t="s">
        <v>61</v>
      </c>
      <c r="B29" s="3" t="str">
        <f>IF('Architecture Warnings'!B17="YES","PII / data residency flag raised — compliance validation required. ","")&amp;IF('Architecture Warnings'!B18="YES","Decision traceability flag raised — audit-grade logging and retention validation required.","")</f>
        <v/>
      </c>
      <c r="C29" s="3" t="str">
        <f>IF('Architecture Warnings'!C17="YES","PII / data residency flag raised — compliance validation required. ","")&amp;IF('Architecture Warnings'!C18="YES","Decision traceability flag raised — audit-grade logging and retention validation required.","")</f>
        <v/>
      </c>
      <c r="D29" s="3" t="str">
        <f>IF('Architecture Warnings'!D17="YES","PII / data residency flag raised — compliance validation required. ","")&amp;IF('Architecture Warnings'!D18="YES","Decision traceability flag raised — audit-grade logging and retention validation required.","")</f>
        <v>Decision traceability flag raised — audit-grade logging and retention validation required.</v>
      </c>
    </row>
    <row r="30" spans="1:4">
      <c r="A30" s="8" t="s">
        <v>62</v>
      </c>
      <c r="B30" s="4"/>
      <c r="C30" s="4"/>
      <c r="D30" s="4"/>
    </row>
    <row r="32" spans="1:4">
      <c r="A32" s="8" t="s">
        <v>127</v>
      </c>
      <c r="B32" s="8" t="s">
        <v>128</v>
      </c>
    </row>
    <row r="33" spans="1:2">
      <c r="B33" s="8" t="s">
        <v>129</v>
      </c>
    </row>
    <row r="34" spans="1:2">
      <c r="B34" s="8" t="s">
        <v>130</v>
      </c>
    </row>
    <row r="35" spans="1:2">
      <c r="B35" s="8"/>
    </row>
    <row r="36" spans="1:2">
      <c r="A36" s="8" t="s">
        <v>131</v>
      </c>
      <c r="B36" s="8"/>
    </row>
    <row r="37" spans="1:2">
      <c r="B37" s="8"/>
    </row>
    <row r="38" spans="1:2">
      <c r="A38" s="8"/>
      <c r="B38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8"/>
  <sheetViews>
    <sheetView workbookViewId="0">
      <selection activeCell="C20" sqref="C20"/>
    </sheetView>
  </sheetViews>
  <sheetFormatPr defaultRowHeight="13.7"/>
  <cols>
    <col min="1" max="1" width="45" customWidth="1"/>
    <col min="2" max="2" width="18" customWidth="1"/>
    <col min="3" max="3" width="22" customWidth="1"/>
    <col min="4" max="4" width="18" customWidth="1"/>
    <col min="5" max="5" width="75" customWidth="1"/>
  </cols>
  <sheetData>
    <row r="1" spans="1:5" ht="17.7">
      <c r="A1" s="1" t="s">
        <v>63</v>
      </c>
      <c r="B1" s="1"/>
      <c r="C1" s="1"/>
      <c r="D1" s="1"/>
      <c r="E1" s="1"/>
    </row>
    <row r="2" spans="1:5">
      <c r="A2" s="8" t="s">
        <v>64</v>
      </c>
      <c r="B2" s="4"/>
      <c r="C2" s="4"/>
      <c r="D2" s="4"/>
      <c r="E2" s="4"/>
    </row>
    <row r="3" spans="1:5">
      <c r="A3" s="3"/>
      <c r="B3" s="3"/>
      <c r="C3" s="3"/>
      <c r="D3" s="3"/>
      <c r="E3" s="3"/>
    </row>
    <row r="4" spans="1:5">
      <c r="A4" s="5" t="s">
        <v>65</v>
      </c>
      <c r="B4" s="5" t="s">
        <v>66</v>
      </c>
      <c r="C4" s="5" t="s">
        <v>67</v>
      </c>
      <c r="D4" s="5" t="s">
        <v>68</v>
      </c>
      <c r="E4" s="5" t="s">
        <v>69</v>
      </c>
    </row>
    <row r="5" spans="1:5" ht="14.25" customHeight="1">
      <c r="A5" s="3" t="s">
        <v>70</v>
      </c>
      <c r="B5" s="3" t="s">
        <v>71</v>
      </c>
      <c r="C5" s="3" t="s">
        <v>71</v>
      </c>
      <c r="D5" s="3" t="s">
        <v>71</v>
      </c>
      <c r="E5" s="3" t="s">
        <v>72</v>
      </c>
    </row>
    <row r="6" spans="1:5" ht="14.25" customHeight="1">
      <c r="A6" s="3" t="s">
        <v>73</v>
      </c>
      <c r="B6" s="3" t="s">
        <v>71</v>
      </c>
      <c r="C6" s="3" t="s">
        <v>71</v>
      </c>
      <c r="D6" s="3" t="s">
        <v>71</v>
      </c>
      <c r="E6" s="3" t="s">
        <v>74</v>
      </c>
    </row>
    <row r="7" spans="1:5" ht="14.25" customHeight="1">
      <c r="A7" s="3" t="s">
        <v>75</v>
      </c>
      <c r="B7" s="3" t="s">
        <v>76</v>
      </c>
      <c r="C7" s="3" t="s">
        <v>76</v>
      </c>
      <c r="D7" s="3" t="s">
        <v>71</v>
      </c>
      <c r="E7" s="3" t="s">
        <v>77</v>
      </c>
    </row>
    <row r="8" spans="1:5" ht="14.25" customHeight="1">
      <c r="A8" s="3" t="s">
        <v>78</v>
      </c>
      <c r="B8" s="3" t="s">
        <v>79</v>
      </c>
      <c r="C8" s="3" t="s">
        <v>76</v>
      </c>
      <c r="D8" s="3" t="s">
        <v>76</v>
      </c>
      <c r="E8" s="3" t="s">
        <v>80</v>
      </c>
    </row>
    <row r="9" spans="1:5" ht="14.25" customHeight="1">
      <c r="A9" s="3" t="s">
        <v>81</v>
      </c>
      <c r="B9" s="3" t="s">
        <v>76</v>
      </c>
      <c r="C9" s="3" t="s">
        <v>76</v>
      </c>
      <c r="D9" s="3" t="s">
        <v>76</v>
      </c>
      <c r="E9" s="3" t="s">
        <v>82</v>
      </c>
    </row>
    <row r="10" spans="1:5" ht="14.25" customHeight="1">
      <c r="A10" s="3" t="s">
        <v>83</v>
      </c>
      <c r="B10" s="3" t="s">
        <v>79</v>
      </c>
      <c r="C10" s="3" t="s">
        <v>76</v>
      </c>
      <c r="D10" s="3" t="s">
        <v>76</v>
      </c>
      <c r="E10" s="3" t="s">
        <v>84</v>
      </c>
    </row>
    <row r="11" spans="1:5" ht="14.25" customHeight="1">
      <c r="A11" s="3" t="s">
        <v>85</v>
      </c>
      <c r="B11" s="3" t="s">
        <v>71</v>
      </c>
      <c r="C11" s="3" t="s">
        <v>71</v>
      </c>
      <c r="D11" s="3" t="s">
        <v>76</v>
      </c>
      <c r="E11" s="3" t="s">
        <v>86</v>
      </c>
    </row>
    <row r="12" spans="1:5" ht="14.25" customHeight="1">
      <c r="A12" s="3" t="s">
        <v>87</v>
      </c>
      <c r="B12" s="3" t="s">
        <v>71</v>
      </c>
      <c r="C12" s="3" t="s">
        <v>71</v>
      </c>
      <c r="D12" s="3" t="s">
        <v>71</v>
      </c>
      <c r="E12" s="3" t="s">
        <v>88</v>
      </c>
    </row>
    <row r="13" spans="1:5" ht="14.25" customHeight="1">
      <c r="A13" s="3" t="s">
        <v>89</v>
      </c>
      <c r="B13" s="3" t="s">
        <v>76</v>
      </c>
      <c r="C13" s="3" t="s">
        <v>76</v>
      </c>
      <c r="D13" s="3" t="s">
        <v>76</v>
      </c>
      <c r="E13" s="3" t="s">
        <v>90</v>
      </c>
    </row>
    <row r="14" spans="1:5" ht="14.25" customHeight="1">
      <c r="A14" s="3" t="s">
        <v>91</v>
      </c>
      <c r="B14" s="3" t="s">
        <v>71</v>
      </c>
      <c r="C14" s="3" t="s">
        <v>71</v>
      </c>
      <c r="D14" s="3" t="s">
        <v>71</v>
      </c>
      <c r="E14" s="3" t="s">
        <v>92</v>
      </c>
    </row>
    <row r="15" spans="1:5" ht="14.25" customHeight="1">
      <c r="A15" s="3" t="s">
        <v>93</v>
      </c>
      <c r="B15" s="3" t="s">
        <v>76</v>
      </c>
      <c r="C15" s="3" t="s">
        <v>76</v>
      </c>
      <c r="D15" s="3" t="s">
        <v>76</v>
      </c>
      <c r="E15" s="3" t="s">
        <v>94</v>
      </c>
    </row>
    <row r="16" spans="1:5" ht="14.25" customHeight="1">
      <c r="A16" s="3" t="s">
        <v>95</v>
      </c>
      <c r="B16" s="3" t="s">
        <v>76</v>
      </c>
      <c r="C16" s="3" t="s">
        <v>79</v>
      </c>
      <c r="D16" s="3" t="s">
        <v>71</v>
      </c>
      <c r="E16" s="3" t="s">
        <v>96</v>
      </c>
    </row>
    <row r="17" spans="1:5" ht="14.25" customHeight="1">
      <c r="A17" s="3" t="s">
        <v>97</v>
      </c>
      <c r="B17" s="3" t="s">
        <v>71</v>
      </c>
      <c r="C17" s="3" t="s">
        <v>71</v>
      </c>
      <c r="D17" s="3" t="s">
        <v>71</v>
      </c>
      <c r="E17" s="3" t="s">
        <v>98</v>
      </c>
    </row>
    <row r="18" spans="1:5" ht="14.25" customHeight="1">
      <c r="A18" s="3" t="s">
        <v>99</v>
      </c>
      <c r="B18" s="3" t="s">
        <v>71</v>
      </c>
      <c r="C18" s="3" t="s">
        <v>71</v>
      </c>
      <c r="D18" s="3" t="s">
        <v>71</v>
      </c>
      <c r="E18" s="3" t="s">
        <v>100</v>
      </c>
    </row>
  </sheetData>
  <dataValidations count="1">
    <dataValidation type="list" sqref="B5:D18" xr:uid="{00000000-0002-0000-0200-000000000000}">
      <formula1>"LOW,MEDIUM,HIGH"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1"/>
  <sheetViews>
    <sheetView workbookViewId="0">
      <selection activeCell="E23" sqref="E23"/>
    </sheetView>
  </sheetViews>
  <sheetFormatPr defaultRowHeight="13.7"/>
  <cols>
    <col min="1" max="1" width="45" customWidth="1"/>
    <col min="2" max="4" width="16" customWidth="1"/>
    <col min="5" max="5" width="20" customWidth="1"/>
    <col min="6" max="6" width="65" customWidth="1"/>
  </cols>
  <sheetData>
    <row r="1" spans="1:6" ht="17.7">
      <c r="A1" s="1" t="s">
        <v>101</v>
      </c>
      <c r="B1" s="1"/>
      <c r="C1" s="1"/>
      <c r="D1" s="1"/>
      <c r="E1" s="1"/>
      <c r="F1" s="1"/>
    </row>
    <row r="2" spans="1:6">
      <c r="A2" s="8" t="s">
        <v>102</v>
      </c>
      <c r="B2" s="4"/>
      <c r="C2" s="4"/>
      <c r="D2" s="4"/>
      <c r="E2" s="4"/>
      <c r="F2" s="4"/>
    </row>
    <row r="3" spans="1:6">
      <c r="A3" s="3"/>
      <c r="B3" s="3"/>
      <c r="C3" s="3"/>
      <c r="D3" s="3"/>
      <c r="E3" s="3"/>
      <c r="F3" s="3"/>
    </row>
    <row r="4" spans="1:6">
      <c r="A4" s="5" t="s">
        <v>103</v>
      </c>
      <c r="B4" s="5" t="s">
        <v>17</v>
      </c>
      <c r="C4" s="5" t="s">
        <v>18</v>
      </c>
      <c r="D4" s="5" t="s">
        <v>19</v>
      </c>
      <c r="E4" s="5" t="s">
        <v>104</v>
      </c>
      <c r="F4" s="5" t="s">
        <v>105</v>
      </c>
    </row>
    <row r="5" spans="1:6" ht="14.25" customHeight="1">
      <c r="A5" s="3" t="s">
        <v>70</v>
      </c>
      <c r="B5" s="3" t="s">
        <v>106</v>
      </c>
      <c r="C5" s="3" t="s">
        <v>106</v>
      </c>
      <c r="D5" s="3" t="s">
        <v>106</v>
      </c>
      <c r="E5" s="3" t="s">
        <v>71</v>
      </c>
      <c r="F5" s="3" t="s">
        <v>107</v>
      </c>
    </row>
    <row r="6" spans="1:6" ht="14.25" customHeight="1">
      <c r="A6" s="3" t="s">
        <v>73</v>
      </c>
      <c r="B6" s="3" t="s">
        <v>106</v>
      </c>
      <c r="C6" s="3" t="s">
        <v>106</v>
      </c>
      <c r="D6" s="3" t="s">
        <v>106</v>
      </c>
      <c r="E6" s="3" t="s">
        <v>71</v>
      </c>
      <c r="F6" s="3" t="s">
        <v>108</v>
      </c>
    </row>
    <row r="7" spans="1:6" ht="14.25" customHeight="1">
      <c r="A7" s="3" t="s">
        <v>75</v>
      </c>
      <c r="B7" s="3" t="s">
        <v>106</v>
      </c>
      <c r="C7" s="3" t="s">
        <v>106</v>
      </c>
      <c r="D7" s="3" t="s">
        <v>106</v>
      </c>
      <c r="E7" s="3" t="s">
        <v>71</v>
      </c>
      <c r="F7" s="3" t="s">
        <v>109</v>
      </c>
    </row>
    <row r="8" spans="1:6" ht="14.25" customHeight="1">
      <c r="A8" s="3" t="s">
        <v>78</v>
      </c>
      <c r="B8" s="3" t="s">
        <v>106</v>
      </c>
      <c r="C8" s="3" t="s">
        <v>106</v>
      </c>
      <c r="D8" s="3" t="s">
        <v>106</v>
      </c>
      <c r="E8" s="3" t="s">
        <v>76</v>
      </c>
      <c r="F8" s="3" t="s">
        <v>110</v>
      </c>
    </row>
    <row r="9" spans="1:6" ht="14.25" customHeight="1">
      <c r="A9" s="3" t="s">
        <v>81</v>
      </c>
      <c r="B9" s="3" t="s">
        <v>106</v>
      </c>
      <c r="C9" s="3" t="s">
        <v>111</v>
      </c>
      <c r="D9" s="3" t="s">
        <v>111</v>
      </c>
      <c r="E9" s="3" t="s">
        <v>71</v>
      </c>
      <c r="F9" s="3" t="s">
        <v>112</v>
      </c>
    </row>
    <row r="10" spans="1:6" ht="14.25" customHeight="1">
      <c r="A10" s="3" t="s">
        <v>83</v>
      </c>
      <c r="B10" s="3" t="s">
        <v>106</v>
      </c>
      <c r="C10" s="3" t="s">
        <v>106</v>
      </c>
      <c r="D10" s="3" t="s">
        <v>106</v>
      </c>
      <c r="E10" s="3" t="s">
        <v>76</v>
      </c>
      <c r="F10" s="3" t="s">
        <v>113</v>
      </c>
    </row>
    <row r="11" spans="1:6" ht="14.25" customHeight="1">
      <c r="A11" s="3" t="s">
        <v>85</v>
      </c>
      <c r="B11" s="3" t="s">
        <v>106</v>
      </c>
      <c r="C11" s="3" t="s">
        <v>111</v>
      </c>
      <c r="D11" s="3" t="s">
        <v>111</v>
      </c>
      <c r="E11" s="3" t="s">
        <v>76</v>
      </c>
      <c r="F11" s="3" t="s">
        <v>114</v>
      </c>
    </row>
    <row r="12" spans="1:6" ht="14.25" customHeight="1">
      <c r="A12" s="3" t="s">
        <v>87</v>
      </c>
      <c r="B12" s="3" t="s">
        <v>106</v>
      </c>
      <c r="C12" s="3" t="s">
        <v>106</v>
      </c>
      <c r="D12" s="3" t="s">
        <v>106</v>
      </c>
      <c r="E12" s="3" t="s">
        <v>71</v>
      </c>
      <c r="F12" s="3" t="s">
        <v>115</v>
      </c>
    </row>
    <row r="13" spans="1:6" ht="14.25" customHeight="1">
      <c r="A13" s="3" t="s">
        <v>89</v>
      </c>
      <c r="B13" s="3" t="s">
        <v>106</v>
      </c>
      <c r="C13" s="3" t="s">
        <v>111</v>
      </c>
      <c r="D13" s="3" t="s">
        <v>111</v>
      </c>
      <c r="E13" s="3" t="s">
        <v>76</v>
      </c>
      <c r="F13" s="3" t="s">
        <v>116</v>
      </c>
    </row>
    <row r="14" spans="1:6" ht="14.25" customHeight="1">
      <c r="A14" s="3" t="s">
        <v>91</v>
      </c>
      <c r="B14" s="3" t="s">
        <v>106</v>
      </c>
      <c r="C14" s="3" t="s">
        <v>111</v>
      </c>
      <c r="D14" s="3" t="s">
        <v>111</v>
      </c>
      <c r="E14" s="3" t="s">
        <v>71</v>
      </c>
      <c r="F14" s="3" t="s">
        <v>117</v>
      </c>
    </row>
    <row r="15" spans="1:6" ht="14.25" customHeight="1">
      <c r="A15" s="3" t="s">
        <v>93</v>
      </c>
      <c r="B15" s="3" t="s">
        <v>106</v>
      </c>
      <c r="C15" s="3" t="s">
        <v>111</v>
      </c>
      <c r="D15" s="3" t="s">
        <v>111</v>
      </c>
      <c r="E15" s="3" t="s">
        <v>76</v>
      </c>
      <c r="F15" s="3" t="s">
        <v>118</v>
      </c>
    </row>
    <row r="16" spans="1:6" ht="14.25" customHeight="1">
      <c r="A16" s="3" t="s">
        <v>95</v>
      </c>
      <c r="B16" s="3" t="s">
        <v>106</v>
      </c>
      <c r="C16" s="3" t="s">
        <v>106</v>
      </c>
      <c r="D16" s="3" t="s">
        <v>106</v>
      </c>
      <c r="E16" s="3" t="s">
        <v>76</v>
      </c>
      <c r="F16" s="3" t="s">
        <v>119</v>
      </c>
    </row>
    <row r="17" spans="1:6" ht="14.25" customHeight="1">
      <c r="A17" s="3" t="s">
        <v>120</v>
      </c>
      <c r="B17" s="3" t="s">
        <v>106</v>
      </c>
      <c r="C17" s="3" t="s">
        <v>106</v>
      </c>
      <c r="D17" s="3" t="s">
        <v>106</v>
      </c>
      <c r="E17" s="3" t="s">
        <v>71</v>
      </c>
      <c r="F17" s="3" t="s">
        <v>121</v>
      </c>
    </row>
    <row r="18" spans="1:6" ht="14.25" customHeight="1">
      <c r="A18" s="3" t="s">
        <v>122</v>
      </c>
      <c r="B18" s="3" t="s">
        <v>106</v>
      </c>
      <c r="C18" s="3" t="s">
        <v>106</v>
      </c>
      <c r="D18" s="3" t="s">
        <v>111</v>
      </c>
      <c r="E18" s="3" t="s">
        <v>71</v>
      </c>
      <c r="F18" s="3" t="s">
        <v>123</v>
      </c>
    </row>
    <row r="19" spans="1:6">
      <c r="A19" s="3"/>
      <c r="B19" s="3"/>
      <c r="C19" s="3"/>
      <c r="D19" s="3"/>
      <c r="E19" s="3"/>
      <c r="F19" s="3"/>
    </row>
    <row r="20" spans="1:6" ht="18.7" customHeight="1">
      <c r="A20" s="6" t="s">
        <v>124</v>
      </c>
      <c r="B20" s="8" t="s">
        <v>125</v>
      </c>
      <c r="C20" s="3"/>
      <c r="D20" s="3"/>
      <c r="E20" s="3"/>
      <c r="F20" s="3"/>
    </row>
    <row r="21" spans="1:6" ht="18.7" customHeight="1">
      <c r="A21" s="3"/>
      <c r="B21" s="8" t="s">
        <v>126</v>
      </c>
      <c r="C21" s="3"/>
      <c r="D21" s="3"/>
      <c r="E21" s="3"/>
      <c r="F21" s="3"/>
    </row>
  </sheetData>
  <dataValidations count="2">
    <dataValidation type="list" sqref="B5:D18" xr:uid="{00000000-0002-0000-0300-000000000000}">
      <formula1>"YES,NO"</formula1>
    </dataValidation>
    <dataValidation type="list" sqref="E5:E18" xr:uid="{00000000-0002-0000-0300-000001000000}">
      <formula1>"LOW,MEDIUM,HIGH"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README</vt:lpstr>
      <vt:lpstr>Architecture Complexity</vt:lpstr>
      <vt:lpstr>Integration Cost Drivers</vt:lpstr>
      <vt:lpstr>Architecture Warnings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Виктор Кононенко</cp:lastModifiedBy>
  <dcterms:modified xsi:type="dcterms:W3CDTF">2026-05-15T14:40:10Z</dcterms:modified>
</cp:coreProperties>
</file>