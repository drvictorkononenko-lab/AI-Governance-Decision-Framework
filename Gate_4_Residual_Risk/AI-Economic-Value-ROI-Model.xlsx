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kon\Downloads\"/>
    </mc:Choice>
  </mc:AlternateContent>
  <xr:revisionPtr revIDLastSave="0" documentId="13_ncr:1_{378F2AE9-6CB8-427D-88A0-CA2DDA22D404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README" sheetId="1" r:id="rId1"/>
    <sheet name="Economic_Model" sheetId="2" r:id="rId2"/>
    <sheet name="LOGIC_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2" l="1"/>
  <c r="D46" i="2"/>
  <c r="B46" i="2"/>
  <c r="C44" i="2"/>
  <c r="D44" i="2"/>
  <c r="B44" i="2"/>
  <c r="C42" i="2"/>
  <c r="D42" i="2"/>
  <c r="B42" i="2"/>
  <c r="B43" i="2" s="1"/>
  <c r="C43" i="2"/>
  <c r="D43" i="2"/>
  <c r="C33" i="2"/>
  <c r="C34" i="2" s="1"/>
  <c r="C35" i="2" s="1"/>
  <c r="D33" i="2"/>
  <c r="D34" i="2"/>
  <c r="D35" i="2" s="1"/>
  <c r="B33" i="2"/>
  <c r="B34" i="2" s="1"/>
  <c r="B35" i="2" s="1"/>
  <c r="D41" i="2"/>
  <c r="C41" i="2"/>
  <c r="B41" i="2"/>
  <c r="D40" i="2"/>
  <c r="C40" i="2"/>
  <c r="B40" i="2"/>
  <c r="D18" i="2"/>
  <c r="C18" i="2"/>
  <c r="B18" i="2"/>
  <c r="D17" i="2"/>
  <c r="D19" i="2" s="1"/>
  <c r="C17" i="2"/>
  <c r="C19" i="2" s="1"/>
  <c r="B17" i="2"/>
  <c r="B19" i="2" s="1"/>
  <c r="D16" i="2"/>
  <c r="D20" i="2" s="1"/>
  <c r="C16" i="2"/>
  <c r="C20" i="2" s="1"/>
  <c r="B16" i="2"/>
  <c r="D11" i="2"/>
  <c r="C11" i="2"/>
  <c r="B11" i="2"/>
  <c r="D45" i="2" l="1"/>
  <c r="C45" i="2"/>
  <c r="B45" i="2"/>
  <c r="B20" i="2"/>
  <c r="D39" i="2"/>
  <c r="D21" i="2"/>
  <c r="C39" i="2"/>
  <c r="C21" i="2"/>
  <c r="B39" i="2" l="1"/>
  <c r="B21" i="2"/>
</calcChain>
</file>

<file path=xl/sharedStrings.xml><?xml version="1.0" encoding="utf-8"?>
<sst xmlns="http://schemas.openxmlformats.org/spreadsheetml/2006/main" count="101" uniqueCount="92">
  <si>
    <t>AI Economic Value &amp; Residual Risk Model</t>
  </si>
  <si>
    <t>Field</t>
  </si>
  <si>
    <t>Description</t>
  </si>
  <si>
    <t>Artifact</t>
  </si>
  <si>
    <t>AI Economic Value &amp; ROI Model</t>
  </si>
  <si>
    <t>Purpose</t>
  </si>
  <si>
    <t>Evaluate whether an AI use case still makes economic sense after production overhead, residual risk, and governance controls are priced in.</t>
  </si>
  <si>
    <t>Core idea</t>
  </si>
  <si>
    <t>AI ROI cannot be calculated as payroll savings minus inference cost. Residual risk and governance overhead must be part of the economic model.</t>
  </si>
  <si>
    <t>What it does</t>
  </si>
  <si>
    <t>What it does NOT do</t>
  </si>
  <si>
    <t>It does not replace a full financial model, actuarial risk analysis, compliance review, or investment committee case.</t>
  </si>
  <si>
    <t>Important</t>
  </si>
  <si>
    <t>This is a lightweight public artifact. It illustrates decision logic, not production-grade financial modeling.</t>
  </si>
  <si>
    <t>The New AI FinOps Formula</t>
  </si>
  <si>
    <t>Gross Benefit from Workflow Automation</t>
  </si>
  <si>
    <t>minus Infrastructure / Production Overhead</t>
  </si>
  <si>
    <t>minus Residual Risk (Expected Loss)</t>
  </si>
  <si>
    <t>minus Compliance Tax</t>
  </si>
  <si>
    <t>Economic Viability Thresholds</t>
  </si>
  <si>
    <t>HIGH</t>
  </si>
  <si>
    <t>Payback period &lt;= 12 months</t>
  </si>
  <si>
    <t>MEDIUM</t>
  </si>
  <si>
    <t>Payback period &gt; 12 and &lt;= 48 months</t>
  </si>
  <si>
    <t>LOW</t>
  </si>
  <si>
    <t>Payback period &gt; 48 months</t>
  </si>
  <si>
    <t>UNACCEPTABLE</t>
  </si>
  <si>
    <t>Risk-adjusted net value is zero or negative</t>
  </si>
  <si>
    <t>Risk-adjusted economics. This is not a production-grade financial model.</t>
  </si>
  <si>
    <t>Parameter</t>
  </si>
  <si>
    <t>Use Case 1</t>
  </si>
  <si>
    <t>Use Case 2</t>
  </si>
  <si>
    <t>Use Case 3</t>
  </si>
  <si>
    <t>Use Case Name</t>
  </si>
  <si>
    <t>Internal Meeting Summary Assistant</t>
  </si>
  <si>
    <t>Payment Request Exception Detection</t>
  </si>
  <si>
    <t>Procurement Anomaly Review Assistant</t>
  </si>
  <si>
    <t>OPERATIONAL PROFILE</t>
  </si>
  <si>
    <t>Monthly Process Volume</t>
  </si>
  <si>
    <t>Current Cost per Case ($)</t>
  </si>
  <si>
    <t>Expected AI Cost per Case ($)</t>
  </si>
  <si>
    <t>Expected Automation Rate</t>
  </si>
  <si>
    <t>Human Review Rate (derived)</t>
  </si>
  <si>
    <t>Human Review Cost per AI-Flagged Case ($)</t>
  </si>
  <si>
    <t>Note</t>
  </si>
  <si>
    <t>Baseline operating assumptions are aligned with the initial economic triage model.</t>
  </si>
  <si>
    <t>BASELINE &amp; AI-ENABLED OPERATING ECONOMICS</t>
  </si>
  <si>
    <t>Monthly Baseline Cost ($)</t>
  </si>
  <si>
    <t>Monthly AI Variable Cost ($)</t>
  </si>
  <si>
    <t>Monthly Human Review Cost ($)</t>
  </si>
  <si>
    <t>Monthly AI-Enabled Operating Cost ($)</t>
  </si>
  <si>
    <t>Gross Automation Benefit ($)</t>
  </si>
  <si>
    <t>Operational Improvement %</t>
  </si>
  <si>
    <t>Gross Automation Benefit is the monthly operating improvement before production overhead, compliance tax, and residual risk.</t>
  </si>
  <si>
    <t>One-Off Setup Cost ($)</t>
  </si>
  <si>
    <t>Monitoring &amp; Maintenance Cost ($)</t>
  </si>
  <si>
    <t>Compliance Tax ($)</t>
  </si>
  <si>
    <t>Compliance Tax excludes routine human review already captured above. It represents audit, governance controls, and runtime compliance overhead.</t>
  </si>
  <si>
    <t>RESIDUAL RISK</t>
  </si>
  <si>
    <t>Critical Error Probability</t>
  </si>
  <si>
    <t>Cost per Critical Error ($)</t>
  </si>
  <si>
    <t>Expected Loss Exposure ($)</t>
  </si>
  <si>
    <t>Residual Risk Ratio</t>
  </si>
  <si>
    <t>Residual Risk Level</t>
  </si>
  <si>
    <t>Residual Risk reflects low-probability, high-impact failures that remain after operational controls and human review.</t>
  </si>
  <si>
    <t>RISK-ADJUSTED VALUE</t>
  </si>
  <si>
    <t>Less: Monitoring &amp; Maintenance Cost ($)</t>
  </si>
  <si>
    <t>Less: Compliance Tax ($)</t>
  </si>
  <si>
    <t>Less: Expected Loss Exposure ($)</t>
  </si>
  <si>
    <t>Risk-Adjusted Net Value ($)</t>
  </si>
  <si>
    <t>Estimated Payback Period (Months)</t>
  </si>
  <si>
    <t>Economic Viability</t>
  </si>
  <si>
    <t>Interpretation</t>
  </si>
  <si>
    <t>Economic Viability reflects risk-adjusted payback after production overhead, compliance tax, and residual exposure.</t>
  </si>
  <si>
    <t>Decision Logic Overview</t>
  </si>
  <si>
    <t>Layer</t>
  </si>
  <si>
    <t>Logic</t>
  </si>
  <si>
    <t>AI-Enabled Operating Cost</t>
  </si>
  <si>
    <t>Monthly AI Variable Cost plus Monthly Human Review Cost. Human review is treated as routine operating cost, not compliance tax.</t>
  </si>
  <si>
    <t>Gross Automation Benefit</t>
  </si>
  <si>
    <t>Monthly Baseline Cost minus Monthly AI-Enabled Operating Cost.</t>
  </si>
  <si>
    <t>Expected Loss Exposure</t>
  </si>
  <si>
    <t>Critical Error Probability multiplied by Cost per Critical Error and Monthly Process Volume.</t>
  </si>
  <si>
    <t>LOW if Expected Loss / Gross Automation Benefit &lt;= 5%; MEDIUM if &lt;= 20%; otherwise HIGH.</t>
  </si>
  <si>
    <t>Risk-Adjusted Net Value</t>
  </si>
  <si>
    <t>Gross Automation Benefit minus Monitoring &amp; Maintenance Cost, Compliance Tax, and Expected Loss Exposure.</t>
  </si>
  <si>
    <t>Estimated Payback Period</t>
  </si>
  <si>
    <t>One-Off Setup Cost divided by monthly Risk-Adjusted Net Value. If net value is zero or negative, payback is not achievable.</t>
  </si>
  <si>
    <t>HIGH if payback &lt;= 12 months; MEDIUM if &lt;= 48 months; LOW if &gt; 48 months; UNACCEPTABLE if Risk-Adjusted Net Value is zero or negative.</t>
  </si>
  <si>
    <t>This model is illustrative. It is designed to expose the economic logic of governance-aware AI, not to replace production financial modeling.</t>
  </si>
  <si>
    <t>PRODUCTION OVERHEAD AND COMPLIANCE TAX</t>
  </si>
  <si>
    <t>Re-evaluates AI economic viability under real production constraints and residual operational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</si>
</sst>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[Red]\(\$#,##0.00\);\-"/>
    <numFmt numFmtId="165" formatCode="0.0%"/>
    <numFmt numFmtId="166" formatCode="\$#,##0;[Red]\(\$#,##0\);\-"/>
    <numFmt numFmtId="167" formatCode="0.0"/>
    <numFmt numFmtId="168" formatCode="0.000%"/>
  </numFmts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666666"/>
      <name val="Calibri"/>
    </font>
    <font>
      <b/>
      <sz val="11"/>
      <color rgb="FF000000"/>
      <name val="Calibri"/>
    </font>
    <font>
      <b/>
      <sz val="11"/>
      <color theme="0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165" fontId="9" fillId="4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166" fontId="11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166" fontId="9" fillId="0" borderId="2" xfId="0" applyNumberFormat="1" applyFont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 wrapText="1"/>
    </xf>
    <xf numFmtId="167" fontId="5" fillId="4" borderId="2" xfId="0" applyNumberFormat="1" applyFont="1" applyFill="1" applyBorder="1" applyAlignment="1">
      <alignment horizontal="center" vertical="center" wrapText="1"/>
    </xf>
    <xf numFmtId="168" fontId="7" fillId="0" borderId="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>
      <selection activeCell="B7" sqref="B7"/>
    </sheetView>
  </sheetViews>
  <sheetFormatPr defaultRowHeight="14.35" x14ac:dyDescent="0.5"/>
  <cols>
    <col min="1" max="1" width="38" customWidth="1"/>
    <col min="2" max="2" width="92" customWidth="1"/>
  </cols>
  <sheetData>
    <row r="1" spans="1:2" ht="18" x14ac:dyDescent="0.5">
      <c r="A1" s="18" t="s">
        <v>0</v>
      </c>
      <c r="B1" s="2"/>
    </row>
    <row r="2" spans="1:2" x14ac:dyDescent="0.5">
      <c r="A2" s="3" t="s">
        <v>1</v>
      </c>
      <c r="B2" s="3" t="s">
        <v>2</v>
      </c>
    </row>
    <row r="3" spans="1:2" x14ac:dyDescent="0.5">
      <c r="A3" s="4" t="s">
        <v>3</v>
      </c>
      <c r="B3" s="5" t="s">
        <v>4</v>
      </c>
    </row>
    <row r="4" spans="1:2" ht="28.7" x14ac:dyDescent="0.5">
      <c r="A4" s="4" t="s">
        <v>5</v>
      </c>
      <c r="B4" s="5" t="s">
        <v>6</v>
      </c>
    </row>
    <row r="5" spans="1:2" ht="28.7" x14ac:dyDescent="0.5">
      <c r="A5" s="4" t="s">
        <v>7</v>
      </c>
      <c r="B5" s="5" t="s">
        <v>8</v>
      </c>
    </row>
    <row r="6" spans="1:2" x14ac:dyDescent="0.5">
      <c r="A6" s="4" t="s">
        <v>9</v>
      </c>
      <c r="B6" s="5" t="s">
        <v>91</v>
      </c>
    </row>
    <row r="7" spans="1:2" x14ac:dyDescent="0.5">
      <c r="A7" s="4" t="s">
        <v>10</v>
      </c>
      <c r="B7" s="5" t="s">
        <v>11</v>
      </c>
    </row>
    <row r="8" spans="1:2" x14ac:dyDescent="0.5">
      <c r="A8" s="4" t="s">
        <v>12</v>
      </c>
      <c r="B8" s="5" t="s">
        <v>13</v>
      </c>
    </row>
    <row r="11" spans="1:2" x14ac:dyDescent="0.5">
      <c r="A11" s="6" t="s">
        <v>14</v>
      </c>
      <c r="B11" s="6"/>
    </row>
    <row r="12" spans="1:2" x14ac:dyDescent="0.5">
      <c r="A12" s="4" t="s">
        <v>15</v>
      </c>
      <c r="B12" s="5"/>
    </row>
    <row r="13" spans="1:2" x14ac:dyDescent="0.5">
      <c r="A13" s="4" t="s">
        <v>16</v>
      </c>
      <c r="B13" s="5"/>
    </row>
    <row r="14" spans="1:2" x14ac:dyDescent="0.5">
      <c r="A14" s="4" t="s">
        <v>17</v>
      </c>
      <c r="B14" s="5"/>
    </row>
    <row r="15" spans="1:2" x14ac:dyDescent="0.5">
      <c r="A15" s="4" t="s">
        <v>18</v>
      </c>
      <c r="B15" s="5"/>
    </row>
    <row r="17" spans="1:2" x14ac:dyDescent="0.5">
      <c r="A17" s="6" t="s">
        <v>19</v>
      </c>
      <c r="B17" s="6"/>
    </row>
    <row r="18" spans="1:2" x14ac:dyDescent="0.5">
      <c r="A18" s="4" t="s">
        <v>20</v>
      </c>
      <c r="B18" s="5" t="s">
        <v>21</v>
      </c>
    </row>
    <row r="19" spans="1:2" x14ac:dyDescent="0.5">
      <c r="A19" s="4" t="s">
        <v>22</v>
      </c>
      <c r="B19" s="5" t="s">
        <v>23</v>
      </c>
    </row>
    <row r="20" spans="1:2" x14ac:dyDescent="0.5">
      <c r="A20" s="4" t="s">
        <v>24</v>
      </c>
      <c r="B20" s="5" t="s">
        <v>25</v>
      </c>
    </row>
    <row r="21" spans="1:2" x14ac:dyDescent="0.5">
      <c r="A21" s="4" t="s">
        <v>26</v>
      </c>
      <c r="B21" s="5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showGridLines="0" topLeftCell="A22" workbookViewId="0">
      <selection activeCell="C43" sqref="C43"/>
    </sheetView>
  </sheetViews>
  <sheetFormatPr defaultRowHeight="14.35" x14ac:dyDescent="0.5"/>
  <cols>
    <col min="1" max="1" width="42" customWidth="1"/>
    <col min="2" max="2" width="30.76171875" customWidth="1"/>
    <col min="3" max="4" width="32" customWidth="1"/>
  </cols>
  <sheetData>
    <row r="1" spans="1:4" ht="18" x14ac:dyDescent="0.5">
      <c r="A1" s="18" t="s">
        <v>0</v>
      </c>
      <c r="B1" s="2"/>
      <c r="C1" s="2"/>
      <c r="D1" s="2"/>
    </row>
    <row r="2" spans="1:4" x14ac:dyDescent="0.5">
      <c r="A2" s="7" t="s">
        <v>28</v>
      </c>
    </row>
    <row r="3" spans="1:4" ht="20" customHeight="1" x14ac:dyDescent="0.5">
      <c r="A3" s="3" t="s">
        <v>29</v>
      </c>
      <c r="B3" s="3" t="s">
        <v>30</v>
      </c>
      <c r="C3" s="3" t="s">
        <v>31</v>
      </c>
      <c r="D3" s="3" t="s">
        <v>32</v>
      </c>
    </row>
    <row r="4" spans="1:4" ht="28.7" x14ac:dyDescent="0.5">
      <c r="A4" s="4" t="s">
        <v>33</v>
      </c>
      <c r="B4" s="20" t="s">
        <v>34</v>
      </c>
      <c r="C4" s="20" t="s">
        <v>35</v>
      </c>
      <c r="D4" s="20" t="s">
        <v>36</v>
      </c>
    </row>
    <row r="5" spans="1:4" ht="20" customHeight="1" x14ac:dyDescent="0.5">
      <c r="A5" s="2"/>
      <c r="B5" s="21"/>
      <c r="C5" s="21"/>
      <c r="D5" s="21"/>
    </row>
    <row r="6" spans="1:4" ht="20" customHeight="1" x14ac:dyDescent="0.5">
      <c r="A6" s="19" t="s">
        <v>37</v>
      </c>
      <c r="B6" s="22"/>
      <c r="C6" s="22"/>
      <c r="D6" s="22"/>
    </row>
    <row r="7" spans="1:4" ht="20" customHeight="1" x14ac:dyDescent="0.5">
      <c r="A7" s="4" t="s">
        <v>38</v>
      </c>
      <c r="B7" s="23">
        <v>500</v>
      </c>
      <c r="C7" s="23">
        <v>8000</v>
      </c>
      <c r="D7" s="23">
        <v>3500</v>
      </c>
    </row>
    <row r="8" spans="1:4" ht="20" customHeight="1" x14ac:dyDescent="0.5">
      <c r="A8" s="4" t="s">
        <v>39</v>
      </c>
      <c r="B8" s="24">
        <v>10</v>
      </c>
      <c r="C8" s="24">
        <v>7</v>
      </c>
      <c r="D8" s="24">
        <v>15</v>
      </c>
    </row>
    <row r="9" spans="1:4" ht="20" customHeight="1" x14ac:dyDescent="0.5">
      <c r="A9" s="4" t="s">
        <v>40</v>
      </c>
      <c r="B9" s="24">
        <v>0.5</v>
      </c>
      <c r="C9" s="24">
        <v>1</v>
      </c>
      <c r="D9" s="24">
        <v>2</v>
      </c>
    </row>
    <row r="10" spans="1:4" ht="20" customHeight="1" x14ac:dyDescent="0.5">
      <c r="A10" s="4" t="s">
        <v>41</v>
      </c>
      <c r="B10" s="25">
        <v>0.8</v>
      </c>
      <c r="C10" s="25">
        <v>0.7</v>
      </c>
      <c r="D10" s="25">
        <v>0.45</v>
      </c>
    </row>
    <row r="11" spans="1:4" ht="20" customHeight="1" x14ac:dyDescent="0.5">
      <c r="A11" s="4" t="s">
        <v>42</v>
      </c>
      <c r="B11" s="25">
        <f>1-B10</f>
        <v>0.19999999999999996</v>
      </c>
      <c r="C11" s="25">
        <f>1-C10</f>
        <v>0.30000000000000004</v>
      </c>
      <c r="D11" s="25">
        <f>1-D10</f>
        <v>0.55000000000000004</v>
      </c>
    </row>
    <row r="12" spans="1:4" ht="20" customHeight="1" x14ac:dyDescent="0.5">
      <c r="A12" s="4" t="s">
        <v>43</v>
      </c>
      <c r="B12" s="24">
        <v>11</v>
      </c>
      <c r="C12" s="24">
        <v>7.7</v>
      </c>
      <c r="D12" s="24">
        <v>16.5</v>
      </c>
    </row>
    <row r="13" spans="1:4" ht="36" customHeight="1" x14ac:dyDescent="0.5">
      <c r="A13" s="10" t="s">
        <v>44</v>
      </c>
      <c r="B13" s="16" t="s">
        <v>45</v>
      </c>
      <c r="C13" s="17"/>
      <c r="D13" s="17"/>
    </row>
    <row r="14" spans="1:4" ht="20" customHeight="1" x14ac:dyDescent="0.5">
      <c r="A14" s="2"/>
      <c r="B14" s="8"/>
      <c r="C14" s="8"/>
      <c r="D14" s="8"/>
    </row>
    <row r="15" spans="1:4" ht="20" customHeight="1" x14ac:dyDescent="0.5">
      <c r="A15" s="19" t="s">
        <v>46</v>
      </c>
      <c r="B15" s="3"/>
      <c r="C15" s="3"/>
      <c r="D15" s="3"/>
    </row>
    <row r="16" spans="1:4" ht="20" customHeight="1" x14ac:dyDescent="0.5">
      <c r="A16" s="4" t="s">
        <v>47</v>
      </c>
      <c r="B16" s="12">
        <f>B7*B8</f>
        <v>5000</v>
      </c>
      <c r="C16" s="12">
        <f>C7*C8</f>
        <v>56000</v>
      </c>
      <c r="D16" s="12">
        <f>D7*D8</f>
        <v>52500</v>
      </c>
    </row>
    <row r="17" spans="1:4" ht="20" customHeight="1" x14ac:dyDescent="0.5">
      <c r="A17" s="4" t="s">
        <v>48</v>
      </c>
      <c r="B17" s="12">
        <f>B7*B9</f>
        <v>250</v>
      </c>
      <c r="C17" s="12">
        <f>C7*C9</f>
        <v>8000</v>
      </c>
      <c r="D17" s="12">
        <f>D7*D9</f>
        <v>7000</v>
      </c>
    </row>
    <row r="18" spans="1:4" ht="20" customHeight="1" x14ac:dyDescent="0.5">
      <c r="A18" s="4" t="s">
        <v>49</v>
      </c>
      <c r="B18" s="12">
        <f>B7*B11*B12</f>
        <v>1099.9999999999998</v>
      </c>
      <c r="C18" s="12">
        <f>C7*C11*C12</f>
        <v>18480.000000000004</v>
      </c>
      <c r="D18" s="12">
        <f>D7*D11*D12</f>
        <v>31762.500000000004</v>
      </c>
    </row>
    <row r="19" spans="1:4" ht="20" customHeight="1" x14ac:dyDescent="0.5">
      <c r="A19" s="4" t="s">
        <v>50</v>
      </c>
      <c r="B19" s="12">
        <f>B17+B18</f>
        <v>1349.9999999999998</v>
      </c>
      <c r="C19" s="12">
        <f>C17+C18</f>
        <v>26480.000000000004</v>
      </c>
      <c r="D19" s="12">
        <f>D17+D18</f>
        <v>38762.5</v>
      </c>
    </row>
    <row r="20" spans="1:4" ht="20" customHeight="1" x14ac:dyDescent="0.5">
      <c r="A20" s="13" t="s">
        <v>51</v>
      </c>
      <c r="B20" s="14">
        <f>B16-B19</f>
        <v>3650</v>
      </c>
      <c r="C20" s="14">
        <f>C16-C19</f>
        <v>29519.999999999996</v>
      </c>
      <c r="D20" s="14">
        <f>D16-D19</f>
        <v>13737.5</v>
      </c>
    </row>
    <row r="21" spans="1:4" ht="20" customHeight="1" x14ac:dyDescent="0.5">
      <c r="A21" s="4" t="s">
        <v>52</v>
      </c>
      <c r="B21" s="9">
        <f>IFERROR(B20/B16,0)</f>
        <v>0.73</v>
      </c>
      <c r="C21" s="9">
        <f>IFERROR(C20/C16,0)</f>
        <v>0.52714285714285702</v>
      </c>
      <c r="D21" s="9">
        <f>IFERROR(D20/D16,0)</f>
        <v>0.26166666666666666</v>
      </c>
    </row>
    <row r="22" spans="1:4" ht="36" customHeight="1" x14ac:dyDescent="0.5">
      <c r="A22" s="10" t="s">
        <v>44</v>
      </c>
      <c r="B22" s="16" t="s">
        <v>53</v>
      </c>
      <c r="C22" s="17"/>
      <c r="D22" s="17"/>
    </row>
    <row r="23" spans="1:4" ht="20" customHeight="1" x14ac:dyDescent="0.5">
      <c r="A23" s="2"/>
      <c r="B23" s="8"/>
      <c r="C23" s="8"/>
      <c r="D23" s="8"/>
    </row>
    <row r="24" spans="1:4" ht="20" customHeight="1" x14ac:dyDescent="0.5">
      <c r="A24" s="19" t="s">
        <v>90</v>
      </c>
      <c r="B24" s="3"/>
      <c r="C24" s="3"/>
      <c r="D24" s="3"/>
    </row>
    <row r="25" spans="1:4" ht="20" customHeight="1" x14ac:dyDescent="0.5">
      <c r="A25" s="13" t="s">
        <v>54</v>
      </c>
      <c r="B25" s="14">
        <v>8500</v>
      </c>
      <c r="C25" s="14">
        <v>53000</v>
      </c>
      <c r="D25" s="14">
        <v>89000</v>
      </c>
    </row>
    <row r="26" spans="1:4" ht="20" customHeight="1" x14ac:dyDescent="0.5">
      <c r="A26" s="4" t="s">
        <v>55</v>
      </c>
      <c r="B26" s="26">
        <v>300</v>
      </c>
      <c r="C26" s="26">
        <v>2500</v>
      </c>
      <c r="D26" s="26">
        <v>4500</v>
      </c>
    </row>
    <row r="27" spans="1:4" ht="20" customHeight="1" x14ac:dyDescent="0.5">
      <c r="A27" s="4" t="s">
        <v>56</v>
      </c>
      <c r="B27" s="26">
        <v>200</v>
      </c>
      <c r="C27" s="26">
        <v>1800</v>
      </c>
      <c r="D27" s="26">
        <v>3200</v>
      </c>
    </row>
    <row r="28" spans="1:4" ht="36" customHeight="1" x14ac:dyDescent="0.5">
      <c r="A28" s="10" t="s">
        <v>44</v>
      </c>
      <c r="B28" s="16" t="s">
        <v>57</v>
      </c>
      <c r="C28" s="17"/>
      <c r="D28" s="17"/>
    </row>
    <row r="29" spans="1:4" ht="20" customHeight="1" x14ac:dyDescent="0.5">
      <c r="A29" s="2"/>
      <c r="B29" s="8"/>
      <c r="C29" s="8"/>
      <c r="D29" s="8"/>
    </row>
    <row r="30" spans="1:4" ht="20" customHeight="1" x14ac:dyDescent="0.5">
      <c r="A30" s="19" t="s">
        <v>58</v>
      </c>
      <c r="B30" s="3"/>
      <c r="C30" s="3"/>
      <c r="D30" s="3"/>
    </row>
    <row r="31" spans="1:4" ht="20" customHeight="1" x14ac:dyDescent="0.5">
      <c r="A31" s="4" t="s">
        <v>59</v>
      </c>
      <c r="B31" s="27">
        <v>2.0000000000000001E-4</v>
      </c>
      <c r="C31" s="36">
        <v>5.0000000000000002E-5</v>
      </c>
      <c r="D31" s="36">
        <v>5.0000000000000002E-5</v>
      </c>
    </row>
    <row r="32" spans="1:4" ht="20" customHeight="1" x14ac:dyDescent="0.5">
      <c r="A32" s="13" t="s">
        <v>60</v>
      </c>
      <c r="B32" s="14">
        <v>750</v>
      </c>
      <c r="C32" s="14">
        <v>5000</v>
      </c>
      <c r="D32" s="14">
        <v>25000</v>
      </c>
    </row>
    <row r="33" spans="1:4" ht="20" customHeight="1" x14ac:dyDescent="0.5">
      <c r="A33" s="4" t="s">
        <v>61</v>
      </c>
      <c r="B33" s="12">
        <f>B31*B32*B7</f>
        <v>75</v>
      </c>
      <c r="C33" s="12">
        <f t="shared" ref="C33:D33" si="0">C31*C32*C7</f>
        <v>2000</v>
      </c>
      <c r="D33" s="12">
        <f t="shared" si="0"/>
        <v>4375</v>
      </c>
    </row>
    <row r="34" spans="1:4" ht="20" customHeight="1" x14ac:dyDescent="0.5">
      <c r="A34" s="28" t="s">
        <v>62</v>
      </c>
      <c r="B34" s="29">
        <f>IFERROR(B33/B20,0)</f>
        <v>2.0547945205479451E-2</v>
      </c>
      <c r="C34" s="29">
        <f t="shared" ref="C34:D34" si="1">IFERROR(C33/C20,0)</f>
        <v>6.7750677506775075E-2</v>
      </c>
      <c r="D34" s="29">
        <f t="shared" si="1"/>
        <v>0.31847133757961782</v>
      </c>
    </row>
    <row r="35" spans="1:4" ht="36" customHeight="1" x14ac:dyDescent="0.5">
      <c r="A35" s="4" t="s">
        <v>63</v>
      </c>
      <c r="B35" s="15" t="str">
        <f>IF(B34&gt;0.2,"HIGH",IF(B34&gt;0.05,"MEDIUM","LOW"))</f>
        <v>LOW</v>
      </c>
      <c r="C35" s="15" t="str">
        <f t="shared" ref="C35:D35" si="2">IF(C34&gt;0.2,"HIGH",IF(C34&gt;0.05,"MEDIUM","LOW"))</f>
        <v>MEDIUM</v>
      </c>
      <c r="D35" s="15" t="str">
        <f t="shared" si="2"/>
        <v>HIGH</v>
      </c>
    </row>
    <row r="36" spans="1:4" ht="20" customHeight="1" x14ac:dyDescent="0.5">
      <c r="A36" s="10" t="s">
        <v>44</v>
      </c>
      <c r="B36" s="16" t="s">
        <v>64</v>
      </c>
      <c r="C36" s="17"/>
      <c r="D36" s="17"/>
    </row>
    <row r="37" spans="1:4" ht="20" customHeight="1" x14ac:dyDescent="0.5">
      <c r="A37" s="2"/>
      <c r="B37" s="8"/>
      <c r="C37" s="8"/>
      <c r="D37" s="8"/>
    </row>
    <row r="38" spans="1:4" ht="20" customHeight="1" x14ac:dyDescent="0.5">
      <c r="A38" s="19" t="s">
        <v>65</v>
      </c>
      <c r="B38" s="3"/>
      <c r="C38" s="3"/>
      <c r="D38" s="3"/>
    </row>
    <row r="39" spans="1:4" ht="20" customHeight="1" x14ac:dyDescent="0.5">
      <c r="A39" s="4" t="s">
        <v>51</v>
      </c>
      <c r="B39" s="12">
        <f>B20</f>
        <v>3650</v>
      </c>
      <c r="C39" s="12">
        <f>C20</f>
        <v>29519.999999999996</v>
      </c>
      <c r="D39" s="12">
        <f>D20</f>
        <v>13737.5</v>
      </c>
    </row>
    <row r="40" spans="1:4" ht="20" customHeight="1" x14ac:dyDescent="0.5">
      <c r="A40" s="4" t="s">
        <v>66</v>
      </c>
      <c r="B40" s="12">
        <f t="shared" ref="B40:D41" si="3">B26</f>
        <v>300</v>
      </c>
      <c r="C40" s="12">
        <f t="shared" si="3"/>
        <v>2500</v>
      </c>
      <c r="D40" s="12">
        <f t="shared" si="3"/>
        <v>4500</v>
      </c>
    </row>
    <row r="41" spans="1:4" ht="20" customHeight="1" x14ac:dyDescent="0.5">
      <c r="A41" s="4" t="s">
        <v>67</v>
      </c>
      <c r="B41" s="12">
        <f t="shared" si="3"/>
        <v>200</v>
      </c>
      <c r="C41" s="12">
        <f t="shared" si="3"/>
        <v>1800</v>
      </c>
      <c r="D41" s="12">
        <f t="shared" si="3"/>
        <v>3200</v>
      </c>
    </row>
    <row r="42" spans="1:4" ht="20" customHeight="1" x14ac:dyDescent="0.5">
      <c r="A42" s="30" t="s">
        <v>68</v>
      </c>
      <c r="B42" s="31">
        <f>B33</f>
        <v>75</v>
      </c>
      <c r="C42" s="31">
        <f t="shared" ref="C42:D42" si="4">C33</f>
        <v>2000</v>
      </c>
      <c r="D42" s="31">
        <f t="shared" si="4"/>
        <v>4375</v>
      </c>
    </row>
    <row r="43" spans="1:4" ht="20" customHeight="1" x14ac:dyDescent="0.5">
      <c r="A43" s="32" t="s">
        <v>69</v>
      </c>
      <c r="B43" s="33">
        <f>B39-B40-B41-B42</f>
        <v>3075</v>
      </c>
      <c r="C43" s="33">
        <f t="shared" ref="C43:D43" si="5">C39-C40-C41-C42</f>
        <v>23219.999999999996</v>
      </c>
      <c r="D43" s="33">
        <f t="shared" si="5"/>
        <v>1662.5</v>
      </c>
    </row>
    <row r="44" spans="1:4" ht="20" customHeight="1" x14ac:dyDescent="0.5">
      <c r="A44" s="34" t="s">
        <v>70</v>
      </c>
      <c r="B44" s="35">
        <f>IF(B43&lt;=0,"N/A",B25/B43)</f>
        <v>2.7642276422764227</v>
      </c>
      <c r="C44" s="35">
        <f t="shared" ref="C44:D44" si="6">IF(C43&lt;=0,"N/A",C25/C43)</f>
        <v>2.2825150732127479</v>
      </c>
      <c r="D44" s="35">
        <f t="shared" si="6"/>
        <v>53.533834586466163</v>
      </c>
    </row>
    <row r="45" spans="1:4" ht="20" customHeight="1" x14ac:dyDescent="0.5">
      <c r="A45" s="4" t="s">
        <v>71</v>
      </c>
      <c r="B45" s="15" t="str">
        <f>IF(B43&lt;=0,"UNACCEPTABLE",IF(B44&lt;=12,"HIGH",IF(B44&lt;=48,"MEDIUM","LOW")))</f>
        <v>HIGH</v>
      </c>
      <c r="C45" s="15" t="str">
        <f t="shared" ref="C45:D45" si="7">IF(C43&lt;=0,"UNACCEPTABLE",IF(C44&lt;=12,"HIGH",IF(C44&lt;=48,"MEDIUM","LOW")))</f>
        <v>HIGH</v>
      </c>
      <c r="D45" s="15" t="str">
        <f t="shared" si="7"/>
        <v>LOW</v>
      </c>
    </row>
    <row r="46" spans="1:4" ht="36" customHeight="1" x14ac:dyDescent="0.5">
      <c r="A46" s="4" t="s">
        <v>72</v>
      </c>
      <c r="B46" s="15" t="str">
        <f>IF(B45="HIGH","Strong risk-adjusted economics.",IF(B45="MEDIUM","Economically plausible; requires validation.",IF(B45="LOW","Weak payback after risk adjustment.","Economically unacceptable.")))</f>
        <v>Strong risk-adjusted economics.</v>
      </c>
      <c r="C46" s="15" t="str">
        <f t="shared" ref="C46:D46" si="8">IF(C45="HIGH","Strong risk-adjusted economics.",IF(C45="MEDIUM","Economically plausible; requires validation.",IF(C45="LOW","Weak payback after risk adjustment.","Economically unacceptable.")))</f>
        <v>Strong risk-adjusted economics.</v>
      </c>
      <c r="D46" s="15" t="str">
        <f t="shared" si="8"/>
        <v>Weak payback after risk adjustment.</v>
      </c>
    </row>
    <row r="47" spans="1:4" ht="20" customHeight="1" x14ac:dyDescent="0.5">
      <c r="A47" s="10" t="s">
        <v>44</v>
      </c>
      <c r="B47" s="16" t="s">
        <v>73</v>
      </c>
      <c r="C47" s="17"/>
      <c r="D47" s="17"/>
    </row>
  </sheetData>
  <mergeCells count="5">
    <mergeCell ref="B28:D28"/>
    <mergeCell ref="B36:D36"/>
    <mergeCell ref="B22:D22"/>
    <mergeCell ref="B13:D13"/>
    <mergeCell ref="B47:D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showGridLines="0" workbookViewId="0">
      <selection activeCell="B23" sqref="B23"/>
    </sheetView>
  </sheetViews>
  <sheetFormatPr defaultRowHeight="14.35" x14ac:dyDescent="0.5"/>
  <cols>
    <col min="1" max="1" width="34" customWidth="1"/>
    <col min="2" max="2" width="110" customWidth="1"/>
  </cols>
  <sheetData>
    <row r="1" spans="1:2" ht="18" x14ac:dyDescent="0.5">
      <c r="A1" s="1" t="s">
        <v>74</v>
      </c>
      <c r="B1" s="2"/>
    </row>
    <row r="3" spans="1:2" x14ac:dyDescent="0.5">
      <c r="A3" s="3" t="s">
        <v>75</v>
      </c>
      <c r="B3" s="3" t="s">
        <v>76</v>
      </c>
    </row>
    <row r="4" spans="1:2" x14ac:dyDescent="0.5">
      <c r="A4" s="2"/>
      <c r="B4" s="2"/>
    </row>
    <row r="5" spans="1:2" x14ac:dyDescent="0.5">
      <c r="A5" s="4" t="s">
        <v>77</v>
      </c>
      <c r="B5" s="5" t="s">
        <v>78</v>
      </c>
    </row>
    <row r="6" spans="1:2" x14ac:dyDescent="0.5">
      <c r="A6" s="2"/>
      <c r="B6" s="2"/>
    </row>
    <row r="7" spans="1:2" x14ac:dyDescent="0.5">
      <c r="A7" s="4" t="s">
        <v>79</v>
      </c>
      <c r="B7" s="5" t="s">
        <v>80</v>
      </c>
    </row>
    <row r="8" spans="1:2" x14ac:dyDescent="0.5">
      <c r="A8" s="2"/>
      <c r="B8" s="2"/>
    </row>
    <row r="9" spans="1:2" x14ac:dyDescent="0.5">
      <c r="A9" s="4" t="s">
        <v>81</v>
      </c>
      <c r="B9" s="5" t="s">
        <v>82</v>
      </c>
    </row>
    <row r="10" spans="1:2" x14ac:dyDescent="0.5">
      <c r="A10" s="2"/>
      <c r="B10" s="2"/>
    </row>
    <row r="11" spans="1:2" x14ac:dyDescent="0.5">
      <c r="A11" s="4" t="s">
        <v>63</v>
      </c>
      <c r="B11" s="5" t="s">
        <v>83</v>
      </c>
    </row>
    <row r="12" spans="1:2" x14ac:dyDescent="0.5">
      <c r="A12" s="2"/>
      <c r="B12" s="2"/>
    </row>
    <row r="13" spans="1:2" x14ac:dyDescent="0.5">
      <c r="A13" s="4" t="s">
        <v>84</v>
      </c>
      <c r="B13" s="5" t="s">
        <v>85</v>
      </c>
    </row>
    <row r="14" spans="1:2" x14ac:dyDescent="0.5">
      <c r="A14" s="2"/>
      <c r="B14" s="2"/>
    </row>
    <row r="15" spans="1:2" x14ac:dyDescent="0.5">
      <c r="A15" s="4" t="s">
        <v>86</v>
      </c>
      <c r="B15" s="5" t="s">
        <v>87</v>
      </c>
    </row>
    <row r="16" spans="1:2" x14ac:dyDescent="0.5">
      <c r="A16" s="2"/>
      <c r="B16" s="2"/>
    </row>
    <row r="17" spans="1:2" ht="28.7" x14ac:dyDescent="0.5">
      <c r="A17" s="4" t="s">
        <v>71</v>
      </c>
      <c r="B17" s="5" t="s">
        <v>88</v>
      </c>
    </row>
    <row r="18" spans="1:2" x14ac:dyDescent="0.5">
      <c r="A18" s="2"/>
      <c r="B18" s="2"/>
    </row>
    <row r="19" spans="1:2" ht="28.7" x14ac:dyDescent="0.5">
      <c r="A19" s="10" t="s">
        <v>12</v>
      </c>
      <c r="B19" s="11" t="s">
        <v>89</v>
      </c>
    </row>
    <row r="20" spans="1:2" x14ac:dyDescent="0.5">
      <c r="A20" s="2"/>
      <c r="B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README</vt:lpstr>
      <vt:lpstr>Economic_Model</vt:lpstr>
      <vt:lpstr>LOGIC_GUIDE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Виктор Кононенко</cp:lastModifiedBy>
  <dcterms:created xsi:type="dcterms:W3CDTF">2026-05-15T16:27:11Z</dcterms:created>
  <dcterms:modified xsi:type="dcterms:W3CDTF">2026-05-15T17:17:58Z</dcterms:modified>
</cp:coreProperties>
</file>