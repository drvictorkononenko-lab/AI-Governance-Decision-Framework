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vakon\Downloads\"/>
    </mc:Choice>
  </mc:AlternateContent>
  <xr:revisionPtr revIDLastSave="0" documentId="13_ncr:1_{809A02CC-846E-4731-9389-0CC2BF44E203}" xr6:coauthVersionLast="47" xr6:coauthVersionMax="47" xr10:uidLastSave="{00000000-0000-0000-0000-000000000000}"/>
  <bookViews>
    <workbookView xWindow="-93" yWindow="-93" windowWidth="25786" windowHeight="13866" xr2:uid="{00000000-000D-0000-FFFF-FFFF00000000}"/>
  </bookViews>
  <sheets>
    <sheet name="README" sheetId="1" r:id="rId1"/>
    <sheet name="TRIAGE_MATRIX" sheetId="2" r:id="rId2"/>
    <sheet name="ECONOMIC_FILTER" sheetId="3" r:id="rId3"/>
    <sheet name="LOGIC_GUID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9" i="3" l="1"/>
  <c r="C39" i="3"/>
  <c r="B39" i="3"/>
  <c r="D33" i="3"/>
  <c r="C33" i="3"/>
  <c r="B33" i="3"/>
  <c r="D29" i="3"/>
  <c r="C29" i="3"/>
  <c r="B29" i="3"/>
  <c r="D17" i="3"/>
  <c r="C17" i="3"/>
  <c r="C18" i="3" s="1"/>
  <c r="C34" i="3" s="1"/>
  <c r="B17" i="3"/>
  <c r="B18" i="3" s="1"/>
  <c r="B34" i="3" s="1"/>
  <c r="D16" i="3"/>
  <c r="D18" i="3" s="1"/>
  <c r="D34" i="3" s="1"/>
  <c r="C16" i="3"/>
  <c r="B16" i="3"/>
  <c r="D14" i="3"/>
  <c r="C14" i="3"/>
  <c r="B14" i="3"/>
  <c r="D9" i="3"/>
  <c r="C9" i="3"/>
  <c r="B9" i="3"/>
  <c r="D20" i="2"/>
  <c r="C20" i="2"/>
  <c r="B20" i="2"/>
  <c r="C13" i="2"/>
  <c r="B13" i="2"/>
  <c r="D12" i="2"/>
  <c r="D13" i="2" s="1"/>
  <c r="C12" i="2"/>
  <c r="B12" i="2"/>
  <c r="D35" i="3" l="1"/>
  <c r="D36" i="3" s="1"/>
  <c r="D41" i="3" s="1"/>
  <c r="B19" i="3"/>
  <c r="B40" i="3" s="1"/>
  <c r="B42" i="3" s="1"/>
  <c r="C19" i="3"/>
  <c r="C40" i="3" s="1"/>
  <c r="D19" i="3"/>
  <c r="D40" i="3" s="1"/>
  <c r="D42" i="3" s="1"/>
  <c r="B35" i="3"/>
  <c r="B36" i="3" s="1"/>
  <c r="B41" i="3" s="1"/>
  <c r="C35" i="3"/>
  <c r="C36" i="3" s="1"/>
  <c r="C41" i="3" s="1"/>
  <c r="C42" i="3"/>
  <c r="B43" i="3" l="1"/>
  <c r="B24" i="2"/>
  <c r="B27" i="2" s="1"/>
  <c r="B28" i="2" s="1"/>
  <c r="C43" i="3"/>
  <c r="C24" i="2"/>
  <c r="C27" i="2" s="1"/>
  <c r="C28" i="2" s="1"/>
  <c r="D24" i="2"/>
  <c r="D27" i="2" s="1"/>
  <c r="D28" i="2" s="1"/>
  <c r="D43" i="3"/>
</calcChain>
</file>

<file path=xl/sharedStrings.xml><?xml version="1.0" encoding="utf-8"?>
<sst xmlns="http://schemas.openxmlformats.org/spreadsheetml/2006/main" count="132" uniqueCount="103">
  <si>
    <t>AI Use Case Triage Matrix</t>
  </si>
  <si>
    <t>Artifact</t>
  </si>
  <si>
    <t>AI Use Case Triage Matrix + Economic Signal</t>
  </si>
  <si>
    <t>Purpose</t>
  </si>
  <si>
    <t>Quickly eliminate weak AI initiatives before significant investment begins.</t>
  </si>
  <si>
    <t>What it does</t>
  </si>
  <si>
    <t>Evaluates operational readiness, payback signal, and risk exposure.</t>
  </si>
  <si>
    <t>What it does NOT do</t>
  </si>
  <si>
    <t>Does not replace full discovery, architecture assessment, or investment modeling.</t>
  </si>
  <si>
    <t>Important</t>
  </si>
  <si>
    <t>This signal is not an investment case. It only indicates whether the use case deserves deeper discovery.</t>
  </si>
  <si>
    <t>How to read this file</t>
  </si>
  <si>
    <t>Each use case is a column. Parameters are listed vertically for laptop-friendly review. The output is categorical: KEEP / REVIEW / KILL.</t>
  </si>
  <si>
    <t>Parameter</t>
  </si>
  <si>
    <t>Use Case 1</t>
  </si>
  <si>
    <t>Use Case 2</t>
  </si>
  <si>
    <t>Use Case 3</t>
  </si>
  <si>
    <t>Use Case Name</t>
  </si>
  <si>
    <t>Internal Meeting Summary Assistant</t>
  </si>
  <si>
    <t>Payment Request Exception Detection</t>
  </si>
  <si>
    <t>Procurement Anomaly Review Assistant</t>
  </si>
  <si>
    <t>Business Goal</t>
  </si>
  <si>
    <t>Short Description</t>
  </si>
  <si>
    <t>OPERATIONAL READINESS</t>
  </si>
  <si>
    <t>Process Stability</t>
  </si>
  <si>
    <t>MEDIUM</t>
  </si>
  <si>
    <t>HIGH</t>
  </si>
  <si>
    <t>Data Availability</t>
  </si>
  <si>
    <t>PARTIAL</t>
  </si>
  <si>
    <t>YES</t>
  </si>
  <si>
    <t>Clear Success Criteria</t>
  </si>
  <si>
    <t>NO</t>
  </si>
  <si>
    <t>Operational Readiness Score</t>
  </si>
  <si>
    <t>Operational Readiness Signal</t>
  </si>
  <si>
    <t>Note</t>
  </si>
  <si>
    <t>Borderline cases are intentionally allowed to continue into deeper discovery.</t>
  </si>
  <si>
    <t>RISK EXPOSURE</t>
  </si>
  <si>
    <t>Regulatory Exposure</t>
  </si>
  <si>
    <t>LOW</t>
  </si>
  <si>
    <t>Automation Type</t>
  </si>
  <si>
    <t>ASSIST</t>
  </si>
  <si>
    <t>RECOMMEND</t>
  </si>
  <si>
    <t>Human Fallback Exists</t>
  </si>
  <si>
    <t>Risk Signal</t>
  </si>
  <si>
    <t>Assist supports human work. Recommend proposes a decision signal. Execute triggers or changes an operational action.</t>
  </si>
  <si>
    <t>PAYBACK SIGNAL</t>
  </si>
  <si>
    <t>Payback Signal</t>
  </si>
  <si>
    <t>FINAL RECOMMENDATION</t>
  </si>
  <si>
    <t>Recommendation</t>
  </si>
  <si>
    <t>Interpretation</t>
  </si>
  <si>
    <t>Economic Filter</t>
  </si>
  <si>
    <t>Rough payback signal only. This is not an investment case.</t>
  </si>
  <si>
    <t>CURRENT BASELINE</t>
  </si>
  <si>
    <t>Monthly Process Volume</t>
  </si>
  <si>
    <t>Current Cost per Case</t>
  </si>
  <si>
    <t>Monthly Baseline Cost</t>
  </si>
  <si>
    <t>AI-ASSISTED OPERATING MODEL</t>
  </si>
  <si>
    <t>Expected AI Cost per Case</t>
  </si>
  <si>
    <t>Expected Automation Rate</t>
  </si>
  <si>
    <t>Human Review Rate (derived)</t>
  </si>
  <si>
    <t>Human Review Cost per AI-Flagged Case</t>
  </si>
  <si>
    <t>Monthly AI Variable Cost</t>
  </si>
  <si>
    <t>Monthly Human Review Cost</t>
  </si>
  <si>
    <t>Monthly AI-Enabled Operating Cost</t>
  </si>
  <si>
    <t>Operational Improvement %</t>
  </si>
  <si>
    <t>These thresholds are calibrated primarily for assistive and recommendation-based AI systems.</t>
  </si>
  <si>
    <t>Autonomous execution systems typically require significantly higher operational improvement thresholds due to hidden operational overhead, governance complexity, model drift, escalation handling, and long-term maintenance costs.</t>
  </si>
  <si>
    <t>ONE-OFF SETUP COST</t>
  </si>
  <si>
    <t>Discovery / Design Cost</t>
  </si>
  <si>
    <t>Data Preparation Cost</t>
  </si>
  <si>
    <t>AI Solution Setup</t>
  </si>
  <si>
    <t>Integration Setup Cost</t>
  </si>
  <si>
    <t>Governance / Compliance Setup</t>
  </si>
  <si>
    <t>Total One-Off Setup Cost</t>
  </si>
  <si>
    <t>EVALUATION HORIZON</t>
  </si>
  <si>
    <t>Evaluation Horizon (months)</t>
  </si>
  <si>
    <t>Baseline Total</t>
  </si>
  <si>
    <t>AI-Enabled Total</t>
  </si>
  <si>
    <t>Economic Delta</t>
  </si>
  <si>
    <t>Setup Recovery Ratio</t>
  </si>
  <si>
    <t>Baseline Scale Signal</t>
  </si>
  <si>
    <t>Operational Improvement Signal</t>
  </si>
  <si>
    <t>Setup Recovery Signal</t>
  </si>
  <si>
    <t>Decision Logic Overview</t>
  </si>
  <si>
    <t>Layer</t>
  </si>
  <si>
    <t>Logic</t>
  </si>
  <si>
    <t>Operational Readiness</t>
  </si>
  <si>
    <t>Three factors are converted into normalized scores: Process Stability, Data Availability, and Clear Success Criteria. HIGH/YES = 1, MEDIUM/PARTIAL = 0.5, LOW/NO = 0. The readiness score is a simple arithmetic average of normalized factor scores. HIGH &gt;= 75%, MEDIUM &gt;= 45%, otherwise LOW. Borderline cases are intentionally allowed to continue into deeper discovery.</t>
  </si>
  <si>
    <t>Risk Exposure</t>
  </si>
  <si>
    <t>UNACCEPTABLE: HIGH regulation + EXECUTE + no human fallback. HIGH: HIGH regulation with EXECUTE or RECOMMEND, or MEDIUM regulation + EXECUTE without fallback. LOW: ASSIST. All other combinations collapse into MEDIUM.</t>
  </si>
  <si>
    <t>Payback Signal is pulled from the Economic Filter. It combines Baseline Scale, Operational Improvement, and Setup Recovery into a categorical economic signal: HIGH / MEDIUM / LOW.</t>
  </si>
  <si>
    <t>HIGH if Monthly Baseline Cost &gt;= 50,000; MEDIUM if &gt;= 20,000; otherwise LOW.</t>
  </si>
  <si>
    <t>HIGH if monthly operating cost improvement &gt;= 20%; MEDIUM if &gt;= 10%; otherwise LOW. Thresholds are calibrated primarily for assistive and recommendation-based AI systems.</t>
  </si>
  <si>
    <t>HIGH if Economic Delta / Total Setup Cost &gt;= 1.0x; MEDIUM if &gt;= 0.25x; otherwise LOW.</t>
  </si>
  <si>
    <t>Final Recommendation</t>
  </si>
  <si>
    <t>KILL if Operational Readiness is LOW, Payback Signal is LOW, or Risk Signal is UNACCEPTABLE. KEEP only if Operational Readiness and Payback Signal are HIGH and Risk Signal is LOW or MEDIUM. Otherwise REVIEW.</t>
  </si>
  <si>
    <t>Invoice Exception Detection Assistant</t>
  </si>
  <si>
    <t>Internal productivity support</t>
  </si>
  <si>
    <t>Finance review support</t>
  </si>
  <si>
    <t>Procurement review support</t>
  </si>
  <si>
    <t>Summarizes meetings, extracts action items, and prepares draft follow-up notes.</t>
  </si>
  <si>
    <t>Highlights invoice exceptions and unusual payment requests for finance review.</t>
  </si>
  <si>
    <t>Identifies unusual procurement patterns and prioritizes cases for contextual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</si>
</sst>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Red]\(\€#,##0\);\-"/>
    <numFmt numFmtId="166" formatCode="0.0\x"/>
  </numFmts>
  <fonts count="7">
    <font>
      <sz val="11"/>
      <name val="Carlito"/>
    </font>
    <font>
      <b/>
      <sz val="16"/>
      <color rgb="FF1F4E78"/>
      <name val="Carlito"/>
    </font>
    <font>
      <b/>
      <sz val="11"/>
      <name val="Carlito"/>
    </font>
    <font>
      <b/>
      <sz val="11"/>
      <color rgb="FFFFFFFF"/>
      <name val="Carlito"/>
    </font>
    <font>
      <b/>
      <i/>
      <sz val="11"/>
      <name val="Carlito"/>
    </font>
    <font>
      <i/>
      <sz val="11"/>
      <name val="Carlito"/>
    </font>
    <font>
      <sz val="11"/>
      <name val="Carlito"/>
    </font>
  </fonts>
  <fills count="6">
    <fill>
      <patternFill patternType="none"/>
    </fill>
    <fill>
      <patternFill patternType="gray125"/>
    </fill>
    <fill>
      <patternFill patternType="solid">
        <fgColor rgb="FFE7E6E6"/>
      </patternFill>
    </fill>
    <fill>
      <patternFill patternType="solid">
        <fgColor rgb="FF1F4E78"/>
      </patternFill>
    </fill>
    <fill>
      <patternFill patternType="solid">
        <fgColor rgb="FFFFFFFF"/>
      </patternFill>
    </fill>
    <fill>
      <patternFill patternType="solid">
        <fgColor rgb="FFFFF2CC"/>
      </patternFill>
    </fill>
  </fills>
  <borders count="2">
    <border>
      <left/>
      <right/>
      <top/>
      <bottom/>
      <diagonal/>
    </border>
    <border>
      <left/>
      <right/>
      <top/>
      <bottom style="thin">
        <color indexed="64"/>
      </bottom>
      <diagonal/>
    </border>
  </borders>
  <cellStyleXfs count="2">
    <xf numFmtId="0" fontId="0" fillId="0" borderId="0"/>
    <xf numFmtId="0" fontId="6" fillId="0" borderId="0"/>
  </cellStyleXfs>
  <cellXfs count="25">
    <xf numFmtId="0" fontId="0" fillId="0" borderId="0" xfId="0"/>
    <xf numFmtId="0" fontId="1" fillId="0" borderId="0" xfId="1" applyFont="1" applyAlignment="1">
      <alignment vertical="top" wrapText="1"/>
    </xf>
    <xf numFmtId="0" fontId="2" fillId="2" borderId="0" xfId="1" applyFont="1" applyFill="1" applyAlignment="1">
      <alignment vertical="top" wrapText="1"/>
    </xf>
    <xf numFmtId="0" fontId="0" fillId="0" borderId="0" xfId="1" applyFont="1" applyAlignment="1">
      <alignment vertical="top" wrapText="1"/>
    </xf>
    <xf numFmtId="0" fontId="3" fillId="3" borderId="0" xfId="1" applyFont="1" applyFill="1" applyAlignment="1">
      <alignment horizontal="center" vertical="top" wrapText="1"/>
    </xf>
    <xf numFmtId="0" fontId="3" fillId="3" borderId="0" xfId="1" applyFont="1" applyFill="1" applyAlignment="1">
      <alignment horizontal="left" vertical="top" wrapText="1"/>
    </xf>
    <xf numFmtId="0" fontId="2" fillId="0" borderId="0" xfId="1" applyFont="1" applyAlignment="1">
      <alignment vertical="top" wrapText="1"/>
    </xf>
    <xf numFmtId="0" fontId="4" fillId="4" borderId="0" xfId="1" applyFont="1" applyFill="1" applyAlignment="1">
      <alignment vertical="top" wrapText="1"/>
    </xf>
    <xf numFmtId="164" fontId="2" fillId="2" borderId="0" xfId="1" applyNumberFormat="1" applyFont="1" applyFill="1" applyAlignment="1">
      <alignment vertical="top" wrapText="1"/>
    </xf>
    <xf numFmtId="0" fontId="5" fillId="0" borderId="0" xfId="1" applyFont="1"/>
    <xf numFmtId="0" fontId="4" fillId="0" borderId="0" xfId="1" applyFont="1" applyAlignment="1">
      <alignment vertical="top" wrapText="1"/>
    </xf>
    <xf numFmtId="165" fontId="0" fillId="0" borderId="0" xfId="1" applyNumberFormat="1" applyFont="1" applyAlignment="1">
      <alignment vertical="top" wrapText="1"/>
    </xf>
    <xf numFmtId="165" fontId="2" fillId="2" borderId="0" xfId="1" applyNumberFormat="1" applyFont="1" applyFill="1" applyAlignment="1">
      <alignment vertical="top" wrapText="1"/>
    </xf>
    <xf numFmtId="164" fontId="0" fillId="0" borderId="0" xfId="1" applyNumberFormat="1" applyFont="1" applyAlignment="1">
      <alignment vertical="top" wrapText="1"/>
    </xf>
    <xf numFmtId="166" fontId="2" fillId="2" borderId="0" xfId="1" applyNumberFormat="1" applyFont="1" applyFill="1" applyAlignment="1">
      <alignment vertical="top" wrapText="1"/>
    </xf>
    <xf numFmtId="3" fontId="0" fillId="0" borderId="0" xfId="1" applyNumberFormat="1" applyFont="1" applyAlignment="1">
      <alignment vertical="top" wrapText="1"/>
    </xf>
    <xf numFmtId="1" fontId="2" fillId="5" borderId="0" xfId="1" applyNumberFormat="1" applyFont="1" applyFill="1" applyAlignment="1">
      <alignment vertical="top" wrapText="1"/>
    </xf>
    <xf numFmtId="0" fontId="5" fillId="4" borderId="0" xfId="1" applyFont="1" applyFill="1" applyAlignment="1">
      <alignment vertical="top" wrapText="1"/>
    </xf>
    <xf numFmtId="0" fontId="5" fillId="0" borderId="0" xfId="1" applyFont="1" applyAlignment="1">
      <alignment vertical="top" wrapText="1"/>
    </xf>
    <xf numFmtId="0" fontId="2" fillId="0" borderId="1" xfId="1" applyFont="1" applyBorder="1" applyAlignment="1">
      <alignment vertical="top" wrapText="1"/>
    </xf>
    <xf numFmtId="0" fontId="2" fillId="2" borderId="1" xfId="1" applyFont="1" applyFill="1" applyBorder="1" applyAlignment="1">
      <alignment vertical="top" wrapText="1"/>
    </xf>
    <xf numFmtId="0" fontId="2" fillId="0" borderId="0" xfId="1" applyFont="1" applyFill="1" applyAlignment="1">
      <alignment vertical="top" wrapText="1"/>
    </xf>
    <xf numFmtId="0" fontId="0" fillId="0" borderId="0" xfId="1" applyFont="1" applyFill="1" applyAlignment="1">
      <alignment vertical="top" wrapText="1"/>
    </xf>
    <xf numFmtId="0" fontId="0" fillId="0" borderId="0" xfId="0" applyFill="1"/>
    <xf numFmtId="164" fontId="2" fillId="2" borderId="1" xfId="1" applyNumberFormat="1" applyFont="1" applyFill="1" applyBorder="1" applyAlignment="1">
      <alignment vertical="top" wrapText="1"/>
    </xf>
  </cellXfs>
  <cellStyles count="2">
    <cellStyle name="Normal" xfId="1" xr:uid="{00000000-0005-0000-0000-000000000000}"/>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tabSelected="1" workbookViewId="0">
      <selection activeCell="B13" sqref="B13"/>
    </sheetView>
  </sheetViews>
  <sheetFormatPr defaultRowHeight="13.7"/>
  <cols>
    <col min="1" max="1" width="50.88671875" customWidth="1"/>
    <col min="2" max="2" width="105" customWidth="1"/>
  </cols>
  <sheetData>
    <row r="1" spans="1:2" ht="20">
      <c r="A1" s="1" t="s">
        <v>0</v>
      </c>
    </row>
    <row r="3" spans="1:2">
      <c r="A3" s="2" t="s">
        <v>1</v>
      </c>
      <c r="B3" s="3" t="s">
        <v>2</v>
      </c>
    </row>
    <row r="4" spans="1:2">
      <c r="A4" s="2" t="s">
        <v>3</v>
      </c>
      <c r="B4" s="3" t="s">
        <v>4</v>
      </c>
    </row>
    <row r="5" spans="1:2">
      <c r="A5" s="2" t="s">
        <v>5</v>
      </c>
      <c r="B5" s="3" t="s">
        <v>6</v>
      </c>
    </row>
    <row r="6" spans="1:2">
      <c r="A6" s="2" t="s">
        <v>7</v>
      </c>
      <c r="B6" s="3" t="s">
        <v>8</v>
      </c>
    </row>
    <row r="7" spans="1:2">
      <c r="A7" s="2" t="s">
        <v>9</v>
      </c>
      <c r="B7" s="3" t="s">
        <v>10</v>
      </c>
    </row>
    <row r="8" spans="1:2" ht="27.35">
      <c r="A8" s="2" t="s">
        <v>11</v>
      </c>
      <c r="B8" s="3"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8"/>
  <sheetViews>
    <sheetView workbookViewId="0">
      <selection activeCell="G19" sqref="G19"/>
    </sheetView>
  </sheetViews>
  <sheetFormatPr defaultRowHeight="13.7"/>
  <cols>
    <col min="1" max="1" width="38" customWidth="1"/>
    <col min="2" max="3" width="28" customWidth="1"/>
    <col min="4" max="4" width="32" customWidth="1"/>
  </cols>
  <sheetData>
    <row r="1" spans="1:4" ht="20">
      <c r="A1" s="1" t="s">
        <v>0</v>
      </c>
    </row>
    <row r="3" spans="1:4">
      <c r="A3" s="4" t="s">
        <v>13</v>
      </c>
      <c r="B3" s="4" t="s">
        <v>14</v>
      </c>
      <c r="C3" s="4" t="s">
        <v>15</v>
      </c>
      <c r="D3" s="4" t="s">
        <v>16</v>
      </c>
    </row>
    <row r="4" spans="1:4" ht="36.700000000000003" customHeight="1">
      <c r="A4" s="6" t="s">
        <v>17</v>
      </c>
      <c r="B4" s="3" t="s">
        <v>18</v>
      </c>
      <c r="C4" s="3" t="s">
        <v>96</v>
      </c>
      <c r="D4" s="3" t="s">
        <v>20</v>
      </c>
    </row>
    <row r="5" spans="1:4" ht="24.35" customHeight="1">
      <c r="A5" s="6" t="s">
        <v>21</v>
      </c>
      <c r="B5" s="3" t="s">
        <v>97</v>
      </c>
      <c r="C5" s="3" t="s">
        <v>98</v>
      </c>
      <c r="D5" s="3" t="s">
        <v>99</v>
      </c>
    </row>
    <row r="6" spans="1:4" ht="41">
      <c r="A6" s="6" t="s">
        <v>22</v>
      </c>
      <c r="B6" s="3" t="s">
        <v>100</v>
      </c>
      <c r="C6" s="3" t="s">
        <v>101</v>
      </c>
      <c r="D6" s="3" t="s">
        <v>102</v>
      </c>
    </row>
    <row r="7" spans="1:4">
      <c r="A7" s="6"/>
    </row>
    <row r="8" spans="1:4">
      <c r="A8" s="5" t="s">
        <v>23</v>
      </c>
      <c r="B8" s="5"/>
      <c r="C8" s="5"/>
      <c r="D8" s="5"/>
    </row>
    <row r="9" spans="1:4">
      <c r="A9" s="6" t="s">
        <v>24</v>
      </c>
      <c r="B9" s="3" t="s">
        <v>25</v>
      </c>
      <c r="C9" s="3" t="s">
        <v>26</v>
      </c>
      <c r="D9" s="3" t="s">
        <v>26</v>
      </c>
    </row>
    <row r="10" spans="1:4">
      <c r="A10" s="6" t="s">
        <v>27</v>
      </c>
      <c r="B10" s="3" t="s">
        <v>28</v>
      </c>
      <c r="C10" s="3" t="s">
        <v>29</v>
      </c>
      <c r="D10" s="3" t="s">
        <v>29</v>
      </c>
    </row>
    <row r="11" spans="1:4">
      <c r="A11" s="6" t="s">
        <v>30</v>
      </c>
      <c r="B11" s="3" t="s">
        <v>31</v>
      </c>
      <c r="C11" s="3" t="s">
        <v>29</v>
      </c>
      <c r="D11" s="3" t="s">
        <v>29</v>
      </c>
    </row>
    <row r="12" spans="1:4">
      <c r="A12" s="6" t="s">
        <v>32</v>
      </c>
      <c r="B12" s="8">
        <f>AVERAGE(IF(B9="HIGH",1,IF(B9="MEDIUM",0.5,0)),IF(B10="YES",1,IF(B10="PARTIAL",0.5,0)),IF(B11="YES",1,0))</f>
        <v>0.33333333333333331</v>
      </c>
      <c r="C12" s="8">
        <f>AVERAGE(IF(C9="HIGH",1,IF(C9="MEDIUM",0.5,0)),IF(C10="YES",1,IF(C10="PARTIAL",0.5,0)),IF(C11="YES",1,0))</f>
        <v>1</v>
      </c>
      <c r="D12" s="8">
        <f>AVERAGE(IF(D9="HIGH",1,IF(D9="MEDIUM",0.5,0)),IF(D10="YES",1,IF(D10="PARTIAL",0.5,0)),IF(D11="YES",1,0))</f>
        <v>1</v>
      </c>
    </row>
    <row r="13" spans="1:4">
      <c r="A13" s="19" t="s">
        <v>33</v>
      </c>
      <c r="B13" s="20" t="str">
        <f>IF(B12&gt;=0.75,"HIGH",IF(B12&gt;=0.45,"MEDIUM","LOW"))</f>
        <v>LOW</v>
      </c>
      <c r="C13" s="20" t="str">
        <f>IF(C12&gt;=0.75,"HIGH",IF(C12&gt;=0.45,"MEDIUM","LOW"))</f>
        <v>HIGH</v>
      </c>
      <c r="D13" s="20" t="str">
        <f>IF(D12&gt;=0.75,"HIGH",IF(D12&gt;=0.45,"MEDIUM","LOW"))</f>
        <v>HIGH</v>
      </c>
    </row>
    <row r="14" spans="1:4" ht="14">
      <c r="A14" s="7" t="s">
        <v>34</v>
      </c>
      <c r="B14" s="17" t="s">
        <v>35</v>
      </c>
      <c r="C14" s="17"/>
      <c r="D14" s="17"/>
    </row>
    <row r="15" spans="1:4">
      <c r="A15" s="6"/>
    </row>
    <row r="16" spans="1:4">
      <c r="A16" s="5" t="s">
        <v>36</v>
      </c>
      <c r="B16" s="5"/>
      <c r="C16" s="5"/>
      <c r="D16" s="5"/>
    </row>
    <row r="17" spans="1:4">
      <c r="A17" s="6" t="s">
        <v>37</v>
      </c>
      <c r="B17" t="s">
        <v>38</v>
      </c>
      <c r="C17" t="s">
        <v>25</v>
      </c>
      <c r="D17" t="s">
        <v>25</v>
      </c>
    </row>
    <row r="18" spans="1:4">
      <c r="A18" s="6" t="s">
        <v>39</v>
      </c>
      <c r="B18" t="s">
        <v>40</v>
      </c>
      <c r="C18" t="s">
        <v>41</v>
      </c>
      <c r="D18" t="s">
        <v>41</v>
      </c>
    </row>
    <row r="19" spans="1:4">
      <c r="A19" s="6" t="s">
        <v>42</v>
      </c>
      <c r="B19" t="s">
        <v>29</v>
      </c>
      <c r="C19" t="s">
        <v>29</v>
      </c>
      <c r="D19" t="s">
        <v>29</v>
      </c>
    </row>
    <row r="20" spans="1:4">
      <c r="A20" s="19" t="s">
        <v>43</v>
      </c>
      <c r="B20" s="20" t="str">
        <f>IF(AND(B17="HIGH",B18="EXECUTE",B19="NO"),"UNACCEPTABLE",IF(AND(B17="HIGH",OR(B18="EXECUTE",B18="RECOMMEND")),"HIGH",IF(AND(B17="HIGH",B18="ASSIST"),"LOW",IF(AND(B17="MEDIUM",B18="EXECUTE",B19="NO"),"HIGH",IF(AND(B17="MEDIUM",B18="EXECUTE",B19="YES"),"MEDIUM",IF(B18="ASSIST","LOW","MEDIUM"))))))</f>
        <v>LOW</v>
      </c>
      <c r="C20" s="20" t="str">
        <f>IF(AND(C17="HIGH",C18="EXECUTE",C19="NO"),"UNACCEPTABLE",IF(AND(C17="HIGH",OR(C18="EXECUTE",C18="RECOMMEND")),"HIGH",IF(AND(C17="HIGH",C18="ASSIST"),"LOW",IF(AND(C17="MEDIUM",C18="EXECUTE",C19="NO"),"HIGH",IF(AND(C17="MEDIUM",C18="EXECUTE",C19="YES"),"MEDIUM",IF(C18="ASSIST","LOW","MEDIUM"))))))</f>
        <v>MEDIUM</v>
      </c>
      <c r="D20" s="20" t="str">
        <f>IF(AND(D17="HIGH",D18="EXECUTE",D19="NO"),"UNACCEPTABLE",IF(AND(D17="HIGH",OR(D18="EXECUTE",D18="RECOMMEND")),"HIGH",IF(AND(D17="HIGH",D18="ASSIST"),"LOW",IF(AND(D17="MEDIUM",D18="EXECUTE",D19="NO"),"HIGH",IF(AND(D17="MEDIUM",D18="EXECUTE",D19="YES"),"MEDIUM",IF(D18="ASSIST","LOW","MEDIUM"))))))</f>
        <v>MEDIUM</v>
      </c>
    </row>
    <row r="21" spans="1:4" ht="26.7" customHeight="1">
      <c r="A21" s="7" t="s">
        <v>34</v>
      </c>
      <c r="B21" s="17" t="s">
        <v>44</v>
      </c>
      <c r="C21" s="17"/>
      <c r="D21" s="17"/>
    </row>
    <row r="22" spans="1:4">
      <c r="A22" s="6"/>
    </row>
    <row r="23" spans="1:4">
      <c r="A23" s="5" t="s">
        <v>45</v>
      </c>
      <c r="B23" s="5"/>
      <c r="C23" s="5"/>
      <c r="D23" s="5"/>
    </row>
    <row r="24" spans="1:4">
      <c r="A24" s="6" t="s">
        <v>46</v>
      </c>
      <c r="B24" s="2" t="str">
        <f>ECONOMIC_FILTER!B42</f>
        <v>LOW</v>
      </c>
      <c r="C24" s="2" t="str">
        <f>ECONOMIC_FILTER!C42</f>
        <v>HIGH</v>
      </c>
      <c r="D24" s="2" t="str">
        <f>ECONOMIC_FILTER!D42</f>
        <v>MEDIUM</v>
      </c>
    </row>
    <row r="25" spans="1:4">
      <c r="A25" s="6"/>
    </row>
    <row r="26" spans="1:4">
      <c r="A26" s="5" t="s">
        <v>47</v>
      </c>
      <c r="B26" s="5"/>
      <c r="C26" s="5"/>
      <c r="D26" s="5"/>
    </row>
    <row r="27" spans="1:4">
      <c r="A27" s="6" t="s">
        <v>48</v>
      </c>
      <c r="B27" s="2" t="str">
        <f>IF(OR(B13="LOW",B24="LOW",B20="UNACCEPTABLE"),"KILL",IF(AND(B13="HIGH",B24="HIGH",OR(B20="LOW",B20="MEDIUM")),"KEEP","REVIEW"))</f>
        <v>KILL</v>
      </c>
      <c r="C27" s="2" t="str">
        <f>IF(OR(C13="LOW",C24="LOW",C20="UNACCEPTABLE"),"KILL",IF(AND(C13="HIGH",C24="HIGH",OR(C20="LOW",C20="MEDIUM")),"KEEP","REVIEW"))</f>
        <v>KEEP</v>
      </c>
      <c r="D27" s="2" t="str">
        <f>IF(OR(D13="LOW",D24="LOW",D20="UNACCEPTABLE"),"KILL",IF(AND(D13="HIGH",D24="HIGH",OR(D20="LOW",D20="MEDIUM")),"KEEP","REVIEW"))</f>
        <v>REVIEW</v>
      </c>
    </row>
    <row r="28" spans="1:4" ht="27.35">
      <c r="A28" s="6" t="s">
        <v>49</v>
      </c>
      <c r="B28" s="2" t="str">
        <f>IF(B27="KEEP","Strong enough to enter deeper discovery.",IF(B27="REVIEW","Requires deeper validation before investment.","Do not invest before reframing."))</f>
        <v>Do not invest before reframing.</v>
      </c>
      <c r="C28" s="2" t="str">
        <f>IF(C27="KEEP","Strong enough to enter deeper discovery.",IF(C27="REVIEW","Requires deeper validation before investment.","Do not invest before reframing."))</f>
        <v>Strong enough to enter deeper discovery.</v>
      </c>
      <c r="D28" s="2" t="str">
        <f>IF(D27="KEEP","Strong enough to enter deeper discovery.",IF(D27="REVIEW","Requires deeper validation before investment.","Do not invest before reframing."))</f>
        <v>Requires deeper validation before investment.</v>
      </c>
    </row>
  </sheetData>
  <mergeCells count="2">
    <mergeCell ref="B14:D14"/>
    <mergeCell ref="B21:D21"/>
  </mergeCells>
  <dataValidations count="4">
    <dataValidation type="list" sqref="B9:D9 B17:D17" xr:uid="{00000000-0002-0000-0100-000000000000}">
      <formula1>"LOW,MEDIUM,HIGH"</formula1>
    </dataValidation>
    <dataValidation type="list" sqref="B10:D10" xr:uid="{00000000-0002-0000-0100-000001000000}">
      <formula1>"NO,PARTIAL,YES"</formula1>
    </dataValidation>
    <dataValidation type="list" sqref="B11:D11 B19:D19" xr:uid="{00000000-0002-0000-0100-000002000000}">
      <formula1>"NO,YES"</formula1>
    </dataValidation>
    <dataValidation type="list" sqref="B18:D18" xr:uid="{00000000-0002-0000-0100-000004000000}">
      <formula1>"ASSIST,RECOMMEND,EXECUTE"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3"/>
  <sheetViews>
    <sheetView topLeftCell="A25" workbookViewId="0">
      <selection activeCell="D42" sqref="D42"/>
    </sheetView>
  </sheetViews>
  <sheetFormatPr defaultRowHeight="13.7"/>
  <cols>
    <col min="1" max="1" width="38" customWidth="1"/>
    <col min="2" max="3" width="28" customWidth="1"/>
    <col min="4" max="4" width="32" customWidth="1"/>
  </cols>
  <sheetData>
    <row r="1" spans="1:4" ht="20">
      <c r="A1" s="1" t="s">
        <v>50</v>
      </c>
    </row>
    <row r="2" spans="1:4" ht="14">
      <c r="A2" s="9" t="s">
        <v>51</v>
      </c>
    </row>
    <row r="3" spans="1:4">
      <c r="A3" s="4" t="s">
        <v>13</v>
      </c>
      <c r="B3" s="4" t="s">
        <v>14</v>
      </c>
      <c r="C3" s="4" t="s">
        <v>15</v>
      </c>
      <c r="D3" s="4" t="s">
        <v>16</v>
      </c>
    </row>
    <row r="4" spans="1:4" ht="27.35">
      <c r="A4" s="6" t="s">
        <v>17</v>
      </c>
      <c r="B4" s="3" t="s">
        <v>18</v>
      </c>
      <c r="C4" s="3" t="s">
        <v>19</v>
      </c>
      <c r="D4" s="3" t="s">
        <v>20</v>
      </c>
    </row>
    <row r="5" spans="1:4">
      <c r="A5" s="6"/>
      <c r="B5" s="3"/>
      <c r="C5" s="3"/>
      <c r="D5" s="3"/>
    </row>
    <row r="6" spans="1:4">
      <c r="A6" s="5" t="s">
        <v>52</v>
      </c>
      <c r="B6" s="5"/>
      <c r="C6" s="5"/>
      <c r="D6" s="5"/>
    </row>
    <row r="7" spans="1:4">
      <c r="A7" s="6" t="s">
        <v>53</v>
      </c>
      <c r="B7" s="15">
        <v>500</v>
      </c>
      <c r="C7" s="15">
        <v>8000</v>
      </c>
      <c r="D7" s="15">
        <v>3500</v>
      </c>
    </row>
    <row r="8" spans="1:4">
      <c r="A8" s="6" t="s">
        <v>54</v>
      </c>
      <c r="B8" s="11">
        <v>10</v>
      </c>
      <c r="C8" s="11">
        <v>7</v>
      </c>
      <c r="D8" s="11">
        <v>15</v>
      </c>
    </row>
    <row r="9" spans="1:4">
      <c r="A9" s="6" t="s">
        <v>55</v>
      </c>
      <c r="B9" s="12">
        <f>B7*B8</f>
        <v>5000</v>
      </c>
      <c r="C9" s="12">
        <f>C7*C8</f>
        <v>56000</v>
      </c>
      <c r="D9" s="12">
        <f>D7*D8</f>
        <v>52500</v>
      </c>
    </row>
    <row r="10" spans="1:4">
      <c r="A10" s="6"/>
    </row>
    <row r="11" spans="1:4">
      <c r="A11" s="5" t="s">
        <v>56</v>
      </c>
      <c r="B11" s="5"/>
      <c r="C11" s="5"/>
      <c r="D11" s="5"/>
    </row>
    <row r="12" spans="1:4">
      <c r="A12" s="6" t="s">
        <v>57</v>
      </c>
      <c r="B12" s="11">
        <v>0.5</v>
      </c>
      <c r="C12" s="11">
        <v>1</v>
      </c>
      <c r="D12" s="11">
        <v>2</v>
      </c>
    </row>
    <row r="13" spans="1:4">
      <c r="A13" s="6" t="s">
        <v>58</v>
      </c>
      <c r="B13" s="13">
        <v>0.8</v>
      </c>
      <c r="C13" s="13">
        <v>0.7</v>
      </c>
      <c r="D13" s="13">
        <v>0.45</v>
      </c>
    </row>
    <row r="14" spans="1:4">
      <c r="A14" s="6" t="s">
        <v>59</v>
      </c>
      <c r="B14" s="13">
        <f>1-B13</f>
        <v>0.19999999999999996</v>
      </c>
      <c r="C14" s="13">
        <f>1-C13</f>
        <v>0.30000000000000004</v>
      </c>
      <c r="D14" s="13">
        <f>1-D13</f>
        <v>0.55000000000000004</v>
      </c>
    </row>
    <row r="15" spans="1:4">
      <c r="A15" s="6" t="s">
        <v>60</v>
      </c>
      <c r="B15" s="11">
        <v>11</v>
      </c>
      <c r="C15" s="11">
        <v>7.7</v>
      </c>
      <c r="D15" s="11">
        <v>16.5</v>
      </c>
    </row>
    <row r="16" spans="1:4">
      <c r="A16" s="6" t="s">
        <v>61</v>
      </c>
      <c r="B16" s="12">
        <f>B7*B12</f>
        <v>250</v>
      </c>
      <c r="C16" s="12">
        <f>C7*C12</f>
        <v>8000</v>
      </c>
      <c r="D16" s="12">
        <f>D7*D12</f>
        <v>7000</v>
      </c>
    </row>
    <row r="17" spans="1:4">
      <c r="A17" s="6" t="s">
        <v>62</v>
      </c>
      <c r="B17" s="12">
        <f>B7*B14*B15</f>
        <v>1099.9999999999998</v>
      </c>
      <c r="C17" s="12">
        <f>C7*C14*C15</f>
        <v>18480.000000000004</v>
      </c>
      <c r="D17" s="12">
        <f>D7*D14*D15</f>
        <v>31762.500000000004</v>
      </c>
    </row>
    <row r="18" spans="1:4">
      <c r="A18" s="6" t="s">
        <v>63</v>
      </c>
      <c r="B18" s="12">
        <f>B16+B17</f>
        <v>1349.9999999999998</v>
      </c>
      <c r="C18" s="12">
        <f>C16+C17</f>
        <v>26480.000000000004</v>
      </c>
      <c r="D18" s="12">
        <f>D16+D17</f>
        <v>38762.5</v>
      </c>
    </row>
    <row r="19" spans="1:4">
      <c r="A19" s="19" t="s">
        <v>64</v>
      </c>
      <c r="B19" s="24">
        <f>IFERROR((B9-B18)/B9,0)</f>
        <v>0.73</v>
      </c>
      <c r="C19" s="24">
        <f>IFERROR((C9-C18)/C9,0)</f>
        <v>0.52714285714285702</v>
      </c>
      <c r="D19" s="24">
        <f>IFERROR((D9-D18)/D9,0)</f>
        <v>0.26166666666666666</v>
      </c>
    </row>
    <row r="20" spans="1:4" ht="14">
      <c r="A20" s="10" t="s">
        <v>34</v>
      </c>
      <c r="B20" s="18" t="s">
        <v>65</v>
      </c>
      <c r="C20" s="18"/>
      <c r="D20" s="18"/>
    </row>
    <row r="21" spans="1:4" ht="44.7" customHeight="1">
      <c r="A21" s="10"/>
      <c r="B21" s="18" t="s">
        <v>66</v>
      </c>
      <c r="C21" s="18"/>
      <c r="D21" s="18"/>
    </row>
    <row r="22" spans="1:4">
      <c r="A22" s="6"/>
    </row>
    <row r="23" spans="1:4">
      <c r="A23" s="5" t="s">
        <v>67</v>
      </c>
      <c r="B23" s="5"/>
      <c r="C23" s="5"/>
      <c r="D23" s="5"/>
    </row>
    <row r="24" spans="1:4">
      <c r="A24" s="6" t="s">
        <v>68</v>
      </c>
      <c r="B24" s="11">
        <v>3000</v>
      </c>
      <c r="C24" s="11">
        <v>8000</v>
      </c>
      <c r="D24" s="11">
        <v>12000</v>
      </c>
    </row>
    <row r="25" spans="1:4">
      <c r="A25" s="6" t="s">
        <v>69</v>
      </c>
      <c r="B25" s="11">
        <v>1000</v>
      </c>
      <c r="C25" s="11">
        <v>10000</v>
      </c>
      <c r="D25" s="11">
        <v>15000</v>
      </c>
    </row>
    <row r="26" spans="1:4">
      <c r="A26" s="6" t="s">
        <v>70</v>
      </c>
      <c r="B26" s="11">
        <v>3000</v>
      </c>
      <c r="C26" s="11">
        <v>15000</v>
      </c>
      <c r="D26" s="11">
        <v>25000</v>
      </c>
    </row>
    <row r="27" spans="1:4">
      <c r="A27" s="6" t="s">
        <v>71</v>
      </c>
      <c r="B27" s="11">
        <v>1000</v>
      </c>
      <c r="C27" s="11">
        <v>15000</v>
      </c>
      <c r="D27" s="11">
        <v>25000</v>
      </c>
    </row>
    <row r="28" spans="1:4">
      <c r="A28" s="6" t="s">
        <v>72</v>
      </c>
      <c r="B28" s="11">
        <v>500</v>
      </c>
      <c r="C28" s="11">
        <v>5000</v>
      </c>
      <c r="D28" s="11">
        <v>12000</v>
      </c>
    </row>
    <row r="29" spans="1:4">
      <c r="A29" s="6" t="s">
        <v>73</v>
      </c>
      <c r="B29" s="12">
        <f>SUM(B24:B28)</f>
        <v>8500</v>
      </c>
      <c r="C29" s="12">
        <f>SUM(C24:C28)</f>
        <v>53000</v>
      </c>
      <c r="D29" s="12">
        <f>SUM(D24:D28)</f>
        <v>89000</v>
      </c>
    </row>
    <row r="30" spans="1:4">
      <c r="A30" s="6"/>
    </row>
    <row r="31" spans="1:4">
      <c r="A31" s="5" t="s">
        <v>74</v>
      </c>
      <c r="B31" s="5"/>
      <c r="C31" s="5"/>
      <c r="D31" s="5"/>
    </row>
    <row r="32" spans="1:4">
      <c r="A32" s="6" t="s">
        <v>75</v>
      </c>
      <c r="B32" s="16">
        <v>12</v>
      </c>
      <c r="C32" s="16">
        <v>12</v>
      </c>
      <c r="D32" s="16">
        <v>12</v>
      </c>
    </row>
    <row r="33" spans="1:4">
      <c r="A33" s="6" t="s">
        <v>76</v>
      </c>
      <c r="B33" s="12">
        <f>B9*B32</f>
        <v>60000</v>
      </c>
      <c r="C33" s="12">
        <f>C9*C32</f>
        <v>672000</v>
      </c>
      <c r="D33" s="12">
        <f>D9*D32</f>
        <v>630000</v>
      </c>
    </row>
    <row r="34" spans="1:4">
      <c r="A34" s="6" t="s">
        <v>77</v>
      </c>
      <c r="B34" s="12">
        <f>B18*B32+B29</f>
        <v>24699.999999999996</v>
      </c>
      <c r="C34" s="12">
        <f>C18*C32+C29</f>
        <v>370760.00000000006</v>
      </c>
      <c r="D34" s="12">
        <f>D18*D32+D29</f>
        <v>554150</v>
      </c>
    </row>
    <row r="35" spans="1:4">
      <c r="A35" s="6" t="s">
        <v>78</v>
      </c>
      <c r="B35" s="12">
        <f>B33-B34</f>
        <v>35300</v>
      </c>
      <c r="C35" s="12">
        <f>C33-C34</f>
        <v>301239.99999999994</v>
      </c>
      <c r="D35" s="12">
        <f>D33-D34</f>
        <v>75850</v>
      </c>
    </row>
    <row r="36" spans="1:4">
      <c r="A36" s="6" t="s">
        <v>79</v>
      </c>
      <c r="B36" s="14">
        <f>IFERROR(B35/B29,0)</f>
        <v>4.1529411764705886</v>
      </c>
      <c r="C36" s="14">
        <f>IFERROR(C35/C29,0)</f>
        <v>5.6837735849056594</v>
      </c>
      <c r="D36" s="14">
        <f>IFERROR(D35/D29,0)</f>
        <v>0.85224719101123592</v>
      </c>
    </row>
    <row r="37" spans="1:4">
      <c r="A37" s="6"/>
    </row>
    <row r="38" spans="1:4">
      <c r="A38" s="5" t="s">
        <v>45</v>
      </c>
      <c r="B38" s="5"/>
      <c r="C38" s="5"/>
      <c r="D38" s="5"/>
    </row>
    <row r="39" spans="1:4">
      <c r="A39" s="6" t="s">
        <v>80</v>
      </c>
      <c r="B39" s="2" t="str">
        <f>IF(B9&gt;=50000,"HIGH",IF(B9&gt;=20000,"MEDIUM","LOW"))</f>
        <v>LOW</v>
      </c>
      <c r="C39" s="2" t="str">
        <f>IF(C9&gt;=50000,"HIGH",IF(C9&gt;=20000,"MEDIUM","LOW"))</f>
        <v>HIGH</v>
      </c>
      <c r="D39" s="2" t="str">
        <f>IF(D9&gt;=50000,"HIGH",IF(D9&gt;=20000,"MEDIUM","LOW"))</f>
        <v>HIGH</v>
      </c>
    </row>
    <row r="40" spans="1:4">
      <c r="A40" s="6" t="s">
        <v>81</v>
      </c>
      <c r="B40" s="2" t="str">
        <f>IF(B19&gt;=0.2,"HIGH",IF(B19&gt;=0.1,"MEDIUM","LOW"))</f>
        <v>HIGH</v>
      </c>
      <c r="C40" s="2" t="str">
        <f>IF(C19&gt;=0.2,"HIGH",IF(C19&gt;=0.1,"MEDIUM","LOW"))</f>
        <v>HIGH</v>
      </c>
      <c r="D40" s="2" t="str">
        <f>IF(D19&gt;=0.2,"HIGH",IF(D19&gt;=0.1,"MEDIUM","LOW"))</f>
        <v>HIGH</v>
      </c>
    </row>
    <row r="41" spans="1:4">
      <c r="A41" s="6" t="s">
        <v>82</v>
      </c>
      <c r="B41" s="2" t="str">
        <f>IF(B36&gt;=1,"HIGH",IF(B36&gt;=0.25,"MEDIUM","LOW"))</f>
        <v>HIGH</v>
      </c>
      <c r="C41" s="2" t="str">
        <f>IF(C36&gt;=1,"HIGH",IF(C36&gt;=0.25,"MEDIUM","LOW"))</f>
        <v>HIGH</v>
      </c>
      <c r="D41" s="2" t="str">
        <f>IF(D36&gt;=1,"HIGH",IF(D36&gt;=0.25,"MEDIUM","LOW"))</f>
        <v>MEDIUM</v>
      </c>
    </row>
    <row r="42" spans="1:4">
      <c r="A42" s="6" t="s">
        <v>46</v>
      </c>
      <c r="B42" s="2" t="str">
        <f>IF(AND(B39="HIGH",B40="HIGH",B41="HIGH"),"HIGH",IF(OR(B39="LOW",B40="LOW",B41="LOW"),"LOW","MEDIUM"))</f>
        <v>LOW</v>
      </c>
      <c r="C42" s="2" t="str">
        <f>IF(AND(C39="HIGH",C40="HIGH",C41="HIGH"),"HIGH",IF(OR(C39="LOW",C40="LOW",C41="LOW"),"LOW","MEDIUM"))</f>
        <v>HIGH</v>
      </c>
      <c r="D42" s="2" t="str">
        <f>IF(AND(D39="HIGH",D40="HIGH",D41="HIGH"),"HIGH",IF(OR(D39="LOW",D40="LOW",D41="LOW"),"LOW","MEDIUM"))</f>
        <v>MEDIUM</v>
      </c>
    </row>
    <row r="43" spans="1:4" ht="27.35">
      <c r="A43" s="6" t="s">
        <v>49</v>
      </c>
      <c r="B43" s="2" t="str">
        <f>IF(B42="HIGH","Strong economic candidate.",IF(B42="MEDIUM","Economically plausible; requires validation.","Weak economic signal."))</f>
        <v>Weak economic signal.</v>
      </c>
      <c r="C43" s="2" t="str">
        <f>IF(C42="HIGH","Strong economic candidate.",IF(C42="MEDIUM","Economically plausible; requires validation.","Weak economic signal."))</f>
        <v>Strong economic candidate.</v>
      </c>
      <c r="D43" s="2" t="str">
        <f>IF(D42="HIGH","Strong economic candidate.",IF(D42="MEDIUM","Economically plausible; requires validation.","Weak economic signal."))</f>
        <v>Economically plausible; requires validation.</v>
      </c>
    </row>
  </sheetData>
  <mergeCells count="2">
    <mergeCell ref="B20:D20"/>
    <mergeCell ref="B21:D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8"/>
  <sheetViews>
    <sheetView workbookViewId="0">
      <selection activeCell="B14" sqref="B14"/>
    </sheetView>
  </sheetViews>
  <sheetFormatPr defaultRowHeight="13.7"/>
  <cols>
    <col min="1" max="1" width="41.5" customWidth="1"/>
    <col min="2" max="2" width="120" customWidth="1"/>
  </cols>
  <sheetData>
    <row r="1" spans="1:2" ht="20">
      <c r="A1" s="1" t="s">
        <v>83</v>
      </c>
    </row>
    <row r="3" spans="1:2">
      <c r="A3" s="4" t="s">
        <v>84</v>
      </c>
      <c r="B3" s="4" t="s">
        <v>85</v>
      </c>
    </row>
    <row r="4" spans="1:2" ht="41">
      <c r="A4" s="2" t="s">
        <v>86</v>
      </c>
      <c r="B4" s="3" t="s">
        <v>87</v>
      </c>
    </row>
    <row r="5" spans="1:2" s="23" customFormat="1" ht="4" customHeight="1">
      <c r="A5" s="21"/>
      <c r="B5" s="22"/>
    </row>
    <row r="6" spans="1:2" ht="27.35">
      <c r="A6" s="2" t="s">
        <v>88</v>
      </c>
      <c r="B6" s="3" t="s">
        <v>89</v>
      </c>
    </row>
    <row r="7" spans="1:2" s="23" customFormat="1" ht="4" customHeight="1">
      <c r="A7" s="21"/>
      <c r="B7" s="22"/>
    </row>
    <row r="8" spans="1:2" ht="27.35">
      <c r="A8" s="2" t="s">
        <v>46</v>
      </c>
      <c r="B8" s="3" t="s">
        <v>90</v>
      </c>
    </row>
    <row r="9" spans="1:2" s="23" customFormat="1" ht="4" customHeight="1">
      <c r="A9" s="21"/>
      <c r="B9" s="22"/>
    </row>
    <row r="10" spans="1:2">
      <c r="A10" s="2" t="s">
        <v>80</v>
      </c>
      <c r="B10" s="3" t="s">
        <v>91</v>
      </c>
    </row>
    <row r="11" spans="1:2" s="23" customFormat="1" ht="4" customHeight="1">
      <c r="A11" s="21"/>
      <c r="B11" s="22"/>
    </row>
    <row r="12" spans="1:2" ht="27.35">
      <c r="A12" s="2" t="s">
        <v>81</v>
      </c>
      <c r="B12" s="3" t="s">
        <v>92</v>
      </c>
    </row>
    <row r="13" spans="1:2" s="23" customFormat="1" ht="4" customHeight="1">
      <c r="A13" s="21"/>
      <c r="B13" s="22"/>
    </row>
    <row r="14" spans="1:2">
      <c r="A14" s="2" t="s">
        <v>82</v>
      </c>
      <c r="B14" s="3" t="s">
        <v>93</v>
      </c>
    </row>
    <row r="15" spans="1:2" s="23" customFormat="1" ht="4" customHeight="1">
      <c r="A15" s="21"/>
      <c r="B15" s="22"/>
    </row>
    <row r="16" spans="1:2" ht="27.35">
      <c r="A16" s="2" t="s">
        <v>94</v>
      </c>
      <c r="B16" s="3" t="s">
        <v>95</v>
      </c>
    </row>
    <row r="17" spans="1:2" s="23" customFormat="1" ht="4" customHeight="1">
      <c r="A17" s="21"/>
      <c r="B17" s="22"/>
    </row>
    <row r="18" spans="1:2">
      <c r="A18" s="2" t="s">
        <v>9</v>
      </c>
      <c r="B18" s="3"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README</vt:lpstr>
      <vt:lpstr>TRIAGE_MATRIX</vt:lpstr>
      <vt:lpstr>ECONOMIC_FILTER</vt:lpstr>
      <vt:lpstr>LOGIC_GUIDE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Виктор Кононенко</cp:lastModifiedBy>
  <dcterms:modified xsi:type="dcterms:W3CDTF">2026-05-13T13:48:18Z</dcterms:modified>
</cp:coreProperties>
</file>